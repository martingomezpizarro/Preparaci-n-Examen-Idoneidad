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Ejercicios" sheetId="2" state="visible" r:id="rId4"/>
    <sheet name="Soluciones" sheetId="3" state="visible" r:id="rId5"/>
    <sheet name="Fórmul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<sst xmlns="http://schemas.openxmlformats.org/spreadsheetml/2006/main" count="639" uniqueCount="351">
  <si>
    <t xml:space="preserve">Bonos y TIR · 50 ejercicios prácticos</t>
  </si>
  <si>
    <t xml:space="preserve">Resolvé en la hoja «Ejercicios». Acá ves el avance; las respuestas están en «Soluciones» y el resumen de funciones en «Fórmulas».</t>
  </si>
  <si>
    <t xml:space="preserve">Correctos</t>
  </si>
  <si>
    <t xml:space="preserve">Respondidos</t>
  </si>
  <si>
    <t xml:space="preserve">Acierto</t>
  </si>
  <si>
    <t xml:space="preserve">Ej.</t>
  </si>
  <si>
    <t xml:space="preserve">Tema</t>
  </si>
  <si>
    <t xml:space="preserve">Estado</t>
  </si>
  <si>
    <t xml:space="preserve">Ir</t>
  </si>
  <si>
    <t xml:space="preserve">Cupón cero · precio</t>
  </si>
  <si>
    <t xml:space="preserve">Letra · precio con TNA</t>
  </si>
  <si>
    <t xml:space="preserve">Cupón cero · TIR</t>
  </si>
  <si>
    <t xml:space="preserve">Letra · TEA</t>
  </si>
  <si>
    <t xml:space="preserve">Letra · TNA</t>
  </si>
  <si>
    <t xml:space="preserve">Bullet · precio</t>
  </si>
  <si>
    <t xml:space="preserve">Bullet semestral · precio</t>
  </si>
  <si>
    <t xml:space="preserve">Bullet · TIR</t>
  </si>
  <si>
    <t xml:space="preserve">Flujo irregular · TIR</t>
  </si>
  <si>
    <t xml:space="preserve">Rendimiento del período</t>
  </si>
  <si>
    <t xml:space="preserve">Semestral · TIR del período</t>
  </si>
  <si>
    <t xml:space="preserve">Semestral · TEA</t>
  </si>
  <si>
    <t xml:space="preserve">Semestral · TNA</t>
  </si>
  <si>
    <t xml:space="preserve">Trimestral · TEA</t>
  </si>
  <si>
    <t xml:space="preserve">Amortizable · precio</t>
  </si>
  <si>
    <t xml:space="preserve">Amortizable · TIR</t>
  </si>
  <si>
    <t xml:space="preserve">Amortizable semestral · precio</t>
  </si>
  <si>
    <t xml:space="preserve">Amortizable semestral · TEA</t>
  </si>
  <si>
    <t xml:space="preserve">Amortizable con gracia · TIR</t>
  </si>
  <si>
    <t xml:space="preserve">Current yield</t>
  </si>
  <si>
    <t xml:space="preserve">Duration Macaulay</t>
  </si>
  <si>
    <t xml:space="preserve">Duration modificada</t>
  </si>
  <si>
    <t xml:space="preserve">Duration amortizable</t>
  </si>
  <si>
    <t xml:space="preserve">Sensibilidad · duration</t>
  </si>
  <si>
    <t xml:space="preserve">Sensibilidad · nuevo precio</t>
  </si>
  <si>
    <t xml:space="preserve">Sensibilidad · con convexidad</t>
  </si>
  <si>
    <t xml:space="preserve">Valor técnico</t>
  </si>
  <si>
    <t xml:space="preserve">Paridad</t>
  </si>
  <si>
    <t xml:space="preserve">Precio limpio</t>
  </si>
  <si>
    <t xml:space="preserve">Paridad con amortización</t>
  </si>
  <si>
    <t xml:space="preserve">Monto de la operación</t>
  </si>
  <si>
    <t xml:space="preserve">TIR con fechas (TIR.NO.PER)</t>
  </si>
  <si>
    <t xml:space="preserve">Duration de cartera</t>
  </si>
  <si>
    <t xml:space="preserve">50 ejercicios de bonos y TIR para resolver con Excel</t>
  </si>
  <si>
    <t xml:space="preserve">Resolvé cada ejercicio en el espacio libre de la derecha o abajo, con las funciones de Excel. Cargá tu resultado en la celda amarilla «Tu respuesta»: la columna de al lado te dice si está bien. Los datos en azul son los del enunciado. Tasas y rendimientos se cargan como porcentaje (por ejemplo 7,72%), precios y durations como número (por ejemplo 92,42). Se acepta una diferencia chica por redondeo.</t>
  </si>
  <si>
    <t xml:space="preserve">Ejemplo de carga:</t>
  </si>
  <si>
    <t xml:space="preserve">← así se ve una TIR de 7,72% bien cargada</t>
  </si>
  <si>
    <t xml:space="preserve">Ejercicio 1</t>
  </si>
  <si>
    <t xml:space="preserve">Un bono cupón cero de VN 100 vence dentro de 5 años. Si la TIR (tasa efectiva anual) de mercado es 10%, ¿cuál es su precio hoy?</t>
  </si>
  <si>
    <t xml:space="preserve">Valor nominal</t>
  </si>
  <si>
    <t xml:space="preserve">Años al vencimiento</t>
  </si>
  <si>
    <t xml:space="preserve">TIR efectiva anual</t>
  </si>
  <si>
    <t xml:space="preserve">Tu respuesta</t>
  </si>
  <si>
    <t xml:space="preserve">Ejercicio 2</t>
  </si>
  <si>
    <t xml:space="preserve">Bono cupón cero VN 1.000, vence en 3 años. TIR efectiva anual 8%. Calculá el precio.</t>
  </si>
  <si>
    <t xml:space="preserve">Años</t>
  </si>
  <si>
    <t xml:space="preserve">TIR</t>
  </si>
  <si>
    <t xml:space="preserve">Ejercicio 3</t>
  </si>
  <si>
    <t xml:space="preserve">Un cupón cero de VN 100 vence en 180 días. La TIR efectiva anual exigida es 45%. ¿Cuál es el precio? (base 365 días)</t>
  </si>
  <si>
    <t xml:space="preserve">Días al vencimiento</t>
  </si>
  <si>
    <t xml:space="preserve">TIR efectiva anual (TEA)</t>
  </si>
  <si>
    <t xml:space="preserve">Ejercicio 4</t>
  </si>
  <si>
    <t xml:space="preserve">Una letra VN 1.000 vence en 90 días y se negocia a una TNA de 36% (descuento racional, interés simple, base 365). ¿Precio?</t>
  </si>
  <si>
    <t xml:space="preserve">Días</t>
  </si>
  <si>
    <t xml:space="preserve">TNA</t>
  </si>
  <si>
    <t xml:space="preserve">Ejercicio 5</t>
  </si>
  <si>
    <t xml:space="preserve">Cupón cero VN 100 a 2 años. La tasa de mercado es 10% TNA con capitalización semestral (5% por semestre). ¿Precio?</t>
  </si>
  <si>
    <t xml:space="preserve">Semestres</t>
  </si>
  <si>
    <t xml:space="preserve">Tasa semestral</t>
  </si>
  <si>
    <t xml:space="preserve">Ejercicio 6</t>
  </si>
  <si>
    <t xml:space="preserve">Comprás a $80 un cupón cero de VN 100 que vence en 3 años. ¿Qué TIR efectiva anual obtenés?</t>
  </si>
  <si>
    <t xml:space="preserve">Precio</t>
  </si>
  <si>
    <t xml:space="preserve">Ejercicio 7</t>
  </si>
  <si>
    <t xml:space="preserve">Una letra VN 1.000 que vence en 120 días cotiza a $950. ¿Cuál es su rendimiento como tasa efectiva anual (TEA)?</t>
  </si>
  <si>
    <t xml:space="preserve">Ejercicio 8</t>
  </si>
  <si>
    <t xml:space="preserve">La misma letra (VN 1.000, 120 días, precio $950): ¿cuál es su TNA (interés simple, base 365)?</t>
  </si>
  <si>
    <t xml:space="preserve">Ejercicio 9</t>
  </si>
  <si>
    <t xml:space="preserve">Un cupón cero VN 1.000 a 10 años cotiza a $399,85. ¿Cuál es su TIR efectiva anual?</t>
  </si>
  <si>
    <t xml:space="preserve">Ejercicio 10</t>
  </si>
  <si>
    <t xml:space="preserve">Bono VN 100, cupón 8% anual, amortiza todo al vencimiento en 5 años. TIR de mercado 10%. ¿Precio?</t>
  </si>
  <si>
    <t xml:space="preserve">Cupón anual (tasa)</t>
  </si>
  <si>
    <t xml:space="preserve">Ejercicio 11</t>
  </si>
  <si>
    <t xml:space="preserve">Bono VN 1.000, cupón anual $100, vence en 4 años, TIR 12%. ¿Precio?</t>
  </si>
  <si>
    <t xml:space="preserve">Cupón ($)</t>
  </si>
  <si>
    <t xml:space="preserve">Ejercicio 12</t>
  </si>
  <si>
    <t xml:space="preserve">Bono VN 100, cupón 6% anual, vence en 3 años. Si la TIR es 6%, ¿cuánto vale?</t>
  </si>
  <si>
    <t xml:space="preserve">Cupón</t>
  </si>
  <si>
    <t xml:space="preserve">Ejercicio 13</t>
  </si>
  <si>
    <t xml:space="preserve">Bono VN 100, cupón 12% anual, vence en 7 años. TIR 9%. ¿Precio?</t>
  </si>
  <si>
    <t xml:space="preserve">Ejercicio 14</t>
  </si>
  <si>
    <t xml:space="preserve">Bono VN 100, cupón 7% anual pagadero semestralmente ($3,50 por semestre), vence en 5 años. TIR semestral 4%. ¿Precio?</t>
  </si>
  <si>
    <t xml:space="preserve">Cupón semestral ($)</t>
  </si>
  <si>
    <t xml:space="preserve">TIR semestral</t>
  </si>
  <si>
    <t xml:space="preserve">Ejercicio 15</t>
  </si>
  <si>
    <t xml:space="preserve">Bono VN 1.000, cupón 9% TNA pagadero semestral, vence en 3 años. La TIR exigida es 10% efectiva anual. ¿Precio? (pasá la TEA a tasa semestral)</t>
  </si>
  <si>
    <t xml:space="preserve">Cupón TNA</t>
  </si>
  <si>
    <t xml:space="preserve">Ejercicio 16</t>
  </si>
  <si>
    <t xml:space="preserve">Un bono VN 100, cupón 7% anual, vence en 4 años y cotiza a $95. ¿Cuál es su TIR?</t>
  </si>
  <si>
    <t xml:space="preserve">Ejercicio 17</t>
  </si>
  <si>
    <t xml:space="preserve">Bono VN 100, cupón 10% anual, 5 años, precio $105. ¿TIR?</t>
  </si>
  <si>
    <t xml:space="preserve">Ejercicio 18</t>
  </si>
  <si>
    <t xml:space="preserve">Bono VN 1.000, cupón 8% anual, 6 años, cotiza a la par ($1.000). ¿TIR?</t>
  </si>
  <si>
    <t xml:space="preserve">Ejercicio 19</t>
  </si>
  <si>
    <t xml:space="preserve">Un bono step-up paga cupones crecientes. Con este flujo (el período 0 es lo que pagás), calculá la TIR con =TIR().</t>
  </si>
  <si>
    <t xml:space="preserve">Período</t>
  </si>
  <si>
    <t xml:space="preserve">Flujo ($)</t>
  </si>
  <si>
    <t xml:space="preserve">Ejercicio 20</t>
  </si>
  <si>
    <t xml:space="preserve">Bono VN 100, cupón 5% anual, 6 años, cotiza a $88. ¿TIR?</t>
  </si>
  <si>
    <t xml:space="preserve">Ejercicio 21</t>
  </si>
  <si>
    <t xml:space="preserve">Comprás un bono a $97, al año cobrás un cupón de $6 y lo vendés a $99. ¿Qué rendimiento obtuviste en el año?</t>
  </si>
  <si>
    <t xml:space="preserve">Precio de compra</t>
  </si>
  <si>
    <t xml:space="preserve">Cupón cobrado</t>
  </si>
  <si>
    <t xml:space="preserve">Precio de venta</t>
  </si>
  <si>
    <t xml:space="preserve">Ejercicio 22</t>
  </si>
  <si>
    <t xml:space="preserve">Bono VN 100, cupón 8% TNA pagadero semestral ($4 por semestre), 3 años, precio $96. ¿Cuál es la TIR semestral?</t>
  </si>
  <si>
    <t xml:space="preserve">Ejercicio 23</t>
  </si>
  <si>
    <t xml:space="preserve">Con el mismo bono del ejercicio anterior (precio 96, cupón 4 semestral, 6 semestres): ¿cuál es la TIR efectiva anual?</t>
  </si>
  <si>
    <t xml:space="preserve">Ejercicio 24</t>
  </si>
  <si>
    <t xml:space="preserve">Mismo bono: ¿cuál es la TIR expresada como TNA (capitalización semestral)?</t>
  </si>
  <si>
    <t xml:space="preserve">Ejercicio 25</t>
  </si>
  <si>
    <t xml:space="preserve">Bono VN 100, cupón 12% TNA pagadero trimestral ($3 por trimestre), 2 años, precio $98. ¿TIR efectiva anual?</t>
  </si>
  <si>
    <t xml:space="preserve">Cupón trimestral ($)</t>
  </si>
  <si>
    <t xml:space="preserve">Trimestres</t>
  </si>
  <si>
    <t xml:space="preserve">Ejercicio 26</t>
  </si>
  <si>
    <t xml:space="preserve">Bono VN 100 que amortiza 25% por año durante 4 años; paga 10% anual de interés sobre el saldo. Con TIR 12%, ¿precio? (el flujo ya está armado)</t>
  </si>
  <si>
    <t xml:space="preserve">Ejercicio 27</t>
  </si>
  <si>
    <t xml:space="preserve">El mismo bono amortizable cotiza a $97. ¿Cuál es su TIR? (cargá −97 en el período 0)</t>
  </si>
  <si>
    <t xml:space="preserve">Ejercicio 28</t>
  </si>
  <si>
    <t xml:space="preserve">Bono VN 100, amortiza en 10 cuotas semestrales iguales de 10; paga 8% TNA semestral (4% por semestre) sobre saldo. TIR semestral 5%. ¿Precio?</t>
  </si>
  <si>
    <t xml:space="preserve">Ejercicio 29</t>
  </si>
  <si>
    <t xml:space="preserve">El bono del ejercicio anterior cotiza a $95. ¿Cuál es su TIR efectiva anual?</t>
  </si>
  <si>
    <t xml:space="preserve">Ejercicio 30</t>
  </si>
  <si>
    <t xml:space="preserve">Bono VN 100: 2 años de gracia pagando solo 9% de interés; luego amortiza 50 en el año 3 y 50 en el año 4, siempre con 9% sobre saldo. Precio $92. ¿TIR?</t>
  </si>
  <si>
    <t xml:space="preserve">Ejercicio 31</t>
  </si>
  <si>
    <t xml:space="preserve">Un bono paga $8 de cupón anual y cotiza a $92. ¿Cuál es su rendimiento corriente (current yield)?</t>
  </si>
  <si>
    <t xml:space="preserve">Cupón anual ($)</t>
  </si>
  <si>
    <t xml:space="preserve">Ejercicio 32</t>
  </si>
  <si>
    <t xml:space="preserve">Bono VN 1.000, cupón anual $100, 4 años, TIR 12%. Calculá primero el precio y después el current yield.</t>
  </si>
  <si>
    <t xml:space="preserve">Ejercicio 33</t>
  </si>
  <si>
    <t xml:space="preserve">Bono con cupón 6% TNA pagadero semestral ($3 por semestre) cotiza a $94. ¿Current yield anual?</t>
  </si>
  <si>
    <t xml:space="preserve">Ejercicio 34</t>
  </si>
  <si>
    <t xml:space="preserve">Bono VN 100, cupón 10% anual, 3 años, TIR 10%. Calculá la duration de Macaulay (en años). Tip: columna t × VA(flujo) y dividí por el precio.</t>
  </si>
  <si>
    <t xml:space="preserve">Ejercicio 35</t>
  </si>
  <si>
    <t xml:space="preserve">Mismo bono (cupón 10%, 3 años, TIR 10%): ¿duration modificada?</t>
  </si>
  <si>
    <t xml:space="preserve">Ejercicio 36</t>
  </si>
  <si>
    <t xml:space="preserve">Un cupón cero a 5 años rinde 8% efectivo anual. ¿Duration modificada?</t>
  </si>
  <si>
    <t xml:space="preserve">Ejercicio 37</t>
  </si>
  <si>
    <t xml:space="preserve">Bono VN 100, cupón 8% anual, 5 años, TIR 10% (el del ejercicio 10). ¿Duration de Macaulay?</t>
  </si>
  <si>
    <t xml:space="preserve">Ejercicio 38</t>
  </si>
  <si>
    <t xml:space="preserve">Bono amortizable del ejercicio 26 (flujos 35; 32,5; 30; 27,5) con TIR 12%. ¿Duration de Macaulay?</t>
  </si>
  <si>
    <t xml:space="preserve">Ejercicio 39</t>
  </si>
  <si>
    <t xml:space="preserve">Un bono tiene duration modificada 4,5. Si la TIR sube 0,5 puntos (0,5%), ¿cuánto cambia el precio en %? (aproximación lineal)</t>
  </si>
  <si>
    <t xml:space="preserve">Cambio de tasa</t>
  </si>
  <si>
    <t xml:space="preserve">Ejercicio 40</t>
  </si>
  <si>
    <t xml:space="preserve">Bono a $102 con duration modificada 6. Si la TIR baja 0,75%, ¿cuál es el nuevo precio aproximado?</t>
  </si>
  <si>
    <t xml:space="preserve">Ejercicio 41</t>
  </si>
  <si>
    <t xml:space="preserve">Bono con duration modificada 3,8 y convexidad 18. La TIR sube 2%. Usando ΔP/P ≈ −DM·Δy + ½·C·Δy², ¿variación del precio?</t>
  </si>
  <si>
    <t xml:space="preserve">Convexidad</t>
  </si>
  <si>
    <t xml:space="preserve">Ejercicio 42</t>
  </si>
  <si>
    <t xml:space="preserve">Bono VN 100 sin amortizaciones, cupón 8% anual. Pasaron 120 días desde el último pago (base 365). ¿Valor técnico por cada 100 VN?</t>
  </si>
  <si>
    <t xml:space="preserve">Valor residual</t>
  </si>
  <si>
    <t xml:space="preserve">Cupón anual</t>
  </si>
  <si>
    <t xml:space="preserve">Días corridos</t>
  </si>
  <si>
    <t xml:space="preserve">Ejercicio 43</t>
  </si>
  <si>
    <t xml:space="preserve">Ese bono (valor técnico del ejercicio anterior) cotiza a $95. ¿Paridad?</t>
  </si>
  <si>
    <t xml:space="preserve">Ejercicio 44</t>
  </si>
  <si>
    <t xml:space="preserve">En pantalla un bono figura a precio sucio $101,50 y los intereses corridos son $2,30. ¿Precio limpio?</t>
  </si>
  <si>
    <t xml:space="preserve">Precio sucio</t>
  </si>
  <si>
    <t xml:space="preserve">Intereses corridos</t>
  </si>
  <si>
    <t xml:space="preserve">Ejercicio 45</t>
  </si>
  <si>
    <t xml:space="preserve">Un bono ya amortizó 40% (valor residual 60 por cada 100 VN), paga 10% anual y pasaron 90 días del último cupón. Cotiza a $58 por cada 100 VN original. ¿Paridad?</t>
  </si>
  <si>
    <t xml:space="preserve">Ejercicio 46</t>
  </si>
  <si>
    <t xml:space="preserve">Comprás VN 10.000 de un bono a precio limpio 98,50 (por cada 100 VN) más intereses corridos de 1,20. ¿Cuánto pagás en total? (sin comisiones)</t>
  </si>
  <si>
    <t xml:space="preserve">VN comprado</t>
  </si>
  <si>
    <t xml:space="preserve">Precio limpio (c/100)</t>
  </si>
  <si>
    <t xml:space="preserve">Intereses corridos (c/100)</t>
  </si>
  <si>
    <t xml:space="preserve">Ejercicio 47</t>
  </si>
  <si>
    <t xml:space="preserve">Comprás un bono el 02/11/2026 a $950. Cobrás $60 el 02/05/2027, $60 el 02/11/2027 y $1.060 el 02/05/2028. ¿TIR efectiva anual con =TIR.NO.PER?</t>
  </si>
  <si>
    <t xml:space="preserve">Fecha</t>
  </si>
  <si>
    <t xml:space="preserve">Ejercicio 48</t>
  </si>
  <si>
    <t xml:space="preserve">Comprás el 03/11/2026 una letra VN 100 a $97,10; vence el 02/02/2027. ¿TEA con =TIR.NO.PER?</t>
  </si>
  <si>
    <t xml:space="preserve">Ejercicio 49</t>
  </si>
  <si>
    <t xml:space="preserve">Cartera con un bono de cada uno: X a $1.050 (D=8), Y a $1.000 (D=6), Z a $950 (D=4). ¿Duration de la cartera ponderada por valor?</t>
  </si>
  <si>
    <t xml:space="preserve">Precio X</t>
  </si>
  <si>
    <t xml:space="preserve">D X</t>
  </si>
  <si>
    <t xml:space="preserve">Precio Y</t>
  </si>
  <si>
    <t xml:space="preserve">D Y</t>
  </si>
  <si>
    <t xml:space="preserve">Precio Z</t>
  </si>
  <si>
    <t xml:space="preserve">D Z</t>
  </si>
  <si>
    <t xml:space="preserve">Ejercicio 50</t>
  </si>
  <si>
    <t xml:space="preserve">Invertís $60.000 en un bono con duration 2,5 y $40.000 en otro con duration 9. ¿Duration de la cartera?</t>
  </si>
  <si>
    <t xml:space="preserve">Monto A</t>
  </si>
  <si>
    <t xml:space="preserve">D A</t>
  </si>
  <si>
    <t xml:space="preserve">Monto B</t>
  </si>
  <si>
    <t xml:space="preserve">D B</t>
  </si>
  <si>
    <t xml:space="preserve">Soluciones (mirá solo después de intentarlo)</t>
  </si>
  <si>
    <t xml:space="preserve">Respuesta</t>
  </si>
  <si>
    <t xml:space="preserve">Fórmula en Excel en español</t>
  </si>
  <si>
    <t xml:space="preserve">Cómo se resuelve</t>
  </si>
  <si>
    <t xml:space="preserve">=VA(10%;5;0;-100)  ó  =100/(1+10%)^5</t>
  </si>
  <si>
    <t xml:space="preserve">Se descuenta el único pago (100) 5 años a la TIR.</t>
  </si>
  <si>
    <t xml:space="preserve">=VA(8%;3;0;-1000)</t>
  </si>
  <si>
    <t xml:space="preserve">1.000 / 1,08^3.</t>
  </si>
  <si>
    <t xml:space="preserve">=100/(1+45%)^(180/365)</t>
  </si>
  <si>
    <t xml:space="preserve">Con tasa efectiva anual, el exponente es la fracción de año: días/365.</t>
  </si>
  <si>
    <t xml:space="preserve">=1000/(1+36%*90/365)</t>
  </si>
  <si>
    <t xml:space="preserve">Con TNA (interés simple), el factor es 1 + TNA × días/365.</t>
  </si>
  <si>
    <t xml:space="preserve">=VA(5%;4;0;-100)</t>
  </si>
  <si>
    <t xml:space="preserve">Se trabaja en semestres: 4 períodos al 5%.</t>
  </si>
  <si>
    <t xml:space="preserve">=TASA(3;0;-80;100)  ó  =(100/80)^(1/3)-1</t>
  </si>
  <si>
    <t xml:space="preserve">TIR = (VN/precio)^(1/n) − 1.</t>
  </si>
  <si>
    <t xml:space="preserve">=(1000/950)^(365/120)-1</t>
  </si>
  <si>
    <t xml:space="preserve">Se anualiza en forma compuesta: (VN/P)^(365/días) − 1.</t>
  </si>
  <si>
    <t xml:space="preserve">=(1000/950-1)*365/120</t>
  </si>
  <si>
    <t xml:space="preserve">TNA = rendimiento del período × 365/días (sin capitalizar).</t>
  </si>
  <si>
    <t xml:space="preserve">=TASA(10;0;-399,85;1000)</t>
  </si>
  <si>
    <t xml:space="preserve">Es la inversa del ejercicio del banco: da 9,6%.</t>
  </si>
  <si>
    <t xml:space="preserve">=VA(10%;5;-8;-100)</t>
  </si>
  <si>
    <t xml:space="preserve">Cupón (8) como pago periódico y VN (100) como valor final. TIR &gt; cupón → bajo la par.</t>
  </si>
  <si>
    <t xml:space="preserve">=VA(12%;4;-100;-1000)</t>
  </si>
  <si>
    <t xml:space="preserve">Lo vas a necesitar para el current yield del ejercicio 32.</t>
  </si>
  <si>
    <t xml:space="preserve">=VA(6%;3;-6;-100)</t>
  </si>
  <si>
    <t xml:space="preserve">Si cupón = TIR, el bono vale la par.</t>
  </si>
  <si>
    <t xml:space="preserve">=VA(9%;7;-12;-100)</t>
  </si>
  <si>
    <t xml:space="preserve">Cupón &gt; TIR → sobre la par.</t>
  </si>
  <si>
    <t xml:space="preserve">=VA(4%;10;-3,5;-100)</t>
  </si>
  <si>
    <t xml:space="preserve">Todo en semestres: 10 períodos, cupón 3,5 y tasa del semestre.</t>
  </si>
  <si>
    <t xml:space="preserve">=VA((1+10%)^(1/2)-1;6;-45;-1000)</t>
  </si>
  <si>
    <t xml:space="preserve">Tasa semestral equivalente = 1,10^0,5 − 1 ≈ 4,88%. Cupón semestral = 1.000 × 9% / 2 = 45.</t>
  </si>
  <si>
    <t xml:space="preserve">=TASA(4;7;-95;100)  ó  =TIR(flujo -95;7;7;7;107)</t>
  </si>
  <si>
    <t xml:space="preserve">Bajo la par → TIR mayor que el cupón.</t>
  </si>
  <si>
    <t xml:space="preserve">=TASA(5;10;-105;100)</t>
  </si>
  <si>
    <t xml:space="preserve">Sobre la par → TIR menor que el cupón.</t>
  </si>
  <si>
    <t xml:space="preserve">=TASA(6;80;-1000;1000)</t>
  </si>
  <si>
    <t xml:space="preserve">A la par, TIR = tasa de cupón.</t>
  </si>
  <si>
    <t xml:space="preserve">=TIR(B?:F?)  (seleccioná la fila de flujos)</t>
  </si>
  <si>
    <t xml:space="preserve">La función TIR toma el flujo completo, con el precio negativo en el período 0.</t>
  </si>
  <si>
    <t xml:space="preserve">=TASA(6;5;-88;100)</t>
  </si>
  <si>
    <t xml:space="preserve">Precio bajo la par: la TIR queda por encima del 5%.</t>
  </si>
  <si>
    <t xml:space="preserve">=(6+99)/97-1</t>
  </si>
  <si>
    <t xml:space="preserve">Rendimiento = (cupón + precio de venta) / precio de compra − 1.</t>
  </si>
  <si>
    <t xml:space="preserve">=TASA(6;4;-96;100)</t>
  </si>
  <si>
    <t xml:space="preserve">La TASA devuelve la tasa del período de los flujos: acá, semestral.</t>
  </si>
  <si>
    <t xml:space="preserve">=(1+TASA(6;4;-96;100))^2-1</t>
  </si>
  <si>
    <t xml:space="preserve">TEA = (1 + i semestral)^2 − 1.</t>
  </si>
  <si>
    <t xml:space="preserve">=2*TASA(6;4;-96;100)</t>
  </si>
  <si>
    <t xml:space="preserve">TNA = i semestral × 2 (es la que suelen mostrar las pantallas).</t>
  </si>
  <si>
    <t xml:space="preserve">=(1+TASA(8;3;-98;100))^4-1</t>
  </si>
  <si>
    <t xml:space="preserve">Tasa trimestral con TASA y después ^4.</t>
  </si>
  <si>
    <t xml:space="preserve">=VNA(12%;C?:F?)  (flujos de los años 1 a 4)</t>
  </si>
  <si>
    <t xml:space="preserve">Flujos: 35; 32,5; 30; 27,5 (amortización 25 + interés sobre saldo). VNA descuenta desde el período 1.</t>
  </si>
  <si>
    <t xml:space="preserve">=TIR(B?:F?)</t>
  </si>
  <si>
    <t xml:space="preserve">Con el precio negativo en el período 0, TIR resuelve la tasa que iguala el VNA al precio.</t>
  </si>
  <si>
    <t xml:space="preserve">=VNA(5%;C?:L?)</t>
  </si>
  <si>
    <t xml:space="preserve">Flujo del semestre k = 10 + 4% × saldo al inicio: 14; 13,6; 13,2; … ; 10,4.</t>
  </si>
  <si>
    <t xml:space="preserve">=(1+TIR(B?:L?))^2-1</t>
  </si>
  <si>
    <t xml:space="preserve">TIR da la tasa semestral; se anualiza con ^2.</t>
  </si>
  <si>
    <t xml:space="preserve">Flujos: 9; 9; 59; 54,5. Precio bajo la par → TIR &gt; 9%.</t>
  </si>
  <si>
    <t xml:space="preserve">=8/92</t>
  </si>
  <si>
    <t xml:space="preserve">Current yield = cupón anual / precio. No considera la ganancia hasta la par.</t>
  </si>
  <si>
    <t xml:space="preserve">=100/VA(12%;4;-100;-1000)</t>
  </si>
  <si>
    <t xml:space="preserve">Precio 939,25 → 100/939,25 = 10,65% (pregunta del banco).</t>
  </si>
  <si>
    <t xml:space="preserve">=6/94</t>
  </si>
  <si>
    <t xml:space="preserve">Se usa el cupón de todo el año: 2 × 3 = 6.</t>
  </si>
  <si>
    <t xml:space="preserve">=SUMAPRODUCTO(t;flujo/(1+10%)^t)/SUMAPRODUCTO(flujo/(1+10%)^t)</t>
  </si>
  <si>
    <t xml:space="preserve">D = Σ t × VA(flujo_t) / precio. Da ≈ 2,74 años.</t>
  </si>
  <si>
    <t xml:space="preserve">=Macaulay/(1+10%)</t>
  </si>
  <si>
    <t xml:space="preserve">DM = D Macaulay / (1 + TIR).</t>
  </si>
  <si>
    <t xml:space="preserve">=5/(1+8%)</t>
  </si>
  <si>
    <t xml:space="preserve">En un cupón cero la Macaulay es el plazo (5); la modificada es 5/1,08.</t>
  </si>
  <si>
    <t xml:space="preserve">=SUMAPRODUCTO(t;flujo/(1+10%)^t)/precio</t>
  </si>
  <si>
    <t xml:space="preserve">Menor que 5 porque los cupones adelantan flujos.</t>
  </si>
  <si>
    <t xml:space="preserve">=SUMAPRODUCTO(t;flujo/(1+12%)^t)/precio</t>
  </si>
  <si>
    <t xml:space="preserve">Como devuelve capital antes, la duration es mucho menor que 4.</t>
  </si>
  <si>
    <t xml:space="preserve">=-4,5*0,5%</t>
  </si>
  <si>
    <t xml:space="preserve">ΔP/P ≈ −DM × Δy.</t>
  </si>
  <si>
    <t xml:space="preserve">=102*(1-6*(-0,75%))</t>
  </si>
  <si>
    <t xml:space="preserve">Baja la tasa → sube el precio: 102 × (1 + 4,5%).</t>
  </si>
  <si>
    <t xml:space="preserve">=-3,8*2%+0,5*18*2%^2</t>
  </si>
  <si>
    <t xml:space="preserve">−7,6% de duration + 0,36% de convexidad.</t>
  </si>
  <si>
    <t xml:space="preserve">=100+100*8%*120/365</t>
  </si>
  <si>
    <t xml:space="preserve">Valor técnico = valor residual + intereses corridos.</t>
  </si>
  <si>
    <t xml:space="preserve">=95/(100+100*8%*120/365)</t>
  </si>
  <si>
    <t xml:space="preserve">Paridad = precio / valor técnico. &lt; 100% → bajo la par.</t>
  </si>
  <si>
    <t xml:space="preserve">=101,5-2,3</t>
  </si>
  <si>
    <t xml:space="preserve">Limpio = sucio − intereses corridos.</t>
  </si>
  <si>
    <t xml:space="preserve">=58/(60+60*10%*90/365)</t>
  </si>
  <si>
    <t xml:space="preserve">Con amortizaciones, el valor técnico se calcula sobre el residual.</t>
  </si>
  <si>
    <t xml:space="preserve">=10000/100*(98,5+1,2)</t>
  </si>
  <si>
    <t xml:space="preserve">Se paga el precio sucio: (limpio + corridos) × VN / 100.</t>
  </si>
  <si>
    <t xml:space="preserve">=TIR.NO.PER(flujos;fechas)</t>
  </si>
  <si>
    <t xml:space="preserve">TIR.NO.PER usa las fechas reales y devuelve directamente una tasa efectiva anual.</t>
  </si>
  <si>
    <t xml:space="preserve">Debe darte casi lo mismo que (100/97,1)^(365/91) − 1.</t>
  </si>
  <si>
    <t xml:space="preserve">=SUMAPRODUCTO(precios;durations)/SUMA(precios)</t>
  </si>
  <si>
    <t xml:space="preserve">Promedio ponderado por valor de mercado (pregunta del banco: 6,07).</t>
  </si>
  <si>
    <t xml:space="preserve">=(60000*2,5+40000*9)/100000</t>
  </si>
  <si>
    <t xml:space="preserve">60% × 2,5 + 40% × 9.</t>
  </si>
  <si>
    <t xml:space="preserve">Qué querés calcular</t>
  </si>
  <si>
    <t xml:space="preserve">Excel en español</t>
  </si>
  <si>
    <t xml:space="preserve">Ejemplo</t>
  </si>
  <si>
    <t xml:space="preserve">Ojo</t>
  </si>
  <si>
    <t xml:space="preserve">Precio de un bono con cupón fijo</t>
  </si>
  <si>
    <t xml:space="preserve">=VA(tasa; nper; -cupón; -VN)</t>
  </si>
  <si>
    <t xml:space="preserve">=VA(10%;5;-8;-100) → 92,42</t>
  </si>
  <si>
    <t xml:space="preserve">Tasa y nper en la misma unidad (años, semestres).</t>
  </si>
  <si>
    <t xml:space="preserve">TIR de un bono con cupón fijo</t>
  </si>
  <si>
    <t xml:space="preserve">=TASA(nper; cupón; -precio; VN)</t>
  </si>
  <si>
    <t xml:space="preserve">=TASA(4;7;-95;100) → 8,53%</t>
  </si>
  <si>
    <t xml:space="preserve">Devuelve la tasa del período de los flujos.</t>
  </si>
  <si>
    <t xml:space="preserve">TIR de un flujo cualquiera</t>
  </si>
  <si>
    <t xml:space="preserve">=TIR(rango de flujos)</t>
  </si>
  <si>
    <t xml:space="preserve">=TIR(-950;60;70;80;1100)</t>
  </si>
  <si>
    <t xml:space="preserve">El precio va negativo en el período 0.</t>
  </si>
  <si>
    <t xml:space="preserve">Precio de un flujo cualquiera</t>
  </si>
  <si>
    <t xml:space="preserve">=VNA(tasa; flujos del 1 en adelante)</t>
  </si>
  <si>
    <t xml:space="preserve">=VNA(12%;35;32,5;30;27,5)</t>
  </si>
  <si>
    <t xml:space="preserve">VNA descuenta desde el período 1: no incluyas el período 0.</t>
  </si>
  <si>
    <t xml:space="preserve">TIR con fechas reales</t>
  </si>
  <si>
    <t xml:space="preserve">=TIR.NO.PER(flujos; fechas)</t>
  </si>
  <si>
    <t xml:space="preserve">=TIR.NO.PER(B10:E10;B9:E9)</t>
  </si>
  <si>
    <t xml:space="preserve">Devuelve tasa efectiva anual.</t>
  </si>
  <si>
    <t xml:space="preserve">Semestral → efectiva anual</t>
  </si>
  <si>
    <t xml:space="preserve">=(1+i)^2-1</t>
  </si>
  <si>
    <t xml:space="preserve">4% semestral → 8,16%</t>
  </si>
  <si>
    <t xml:space="preserve">Trimestral: ^4; mensual: ^12.</t>
  </si>
  <si>
    <t xml:space="preserve">Efectiva anual → semestral</t>
  </si>
  <si>
    <t xml:space="preserve">=(1+TEA)^(1/2)-1</t>
  </si>
  <si>
    <t xml:space="preserve">10% → 4,88%</t>
  </si>
  <si>
    <t xml:space="preserve">TNA ↔ tasa del período</t>
  </si>
  <si>
    <t xml:space="preserve">TNA = i × períodos por año</t>
  </si>
  <si>
    <t xml:space="preserve">4% semestral = 8% TNA</t>
  </si>
  <si>
    <t xml:space="preserve">La TNA no capitaliza.</t>
  </si>
  <si>
    <t xml:space="preserve">Letra con TNA</t>
  </si>
  <si>
    <t xml:space="preserve">=VN/(1+TNA*días/365)</t>
  </si>
  <si>
    <t xml:space="preserve">Interés simple.</t>
  </si>
  <si>
    <t xml:space="preserve">=cupón anual / precio</t>
  </si>
  <si>
    <t xml:space="preserve">=8/92 → 8,70%</t>
  </si>
  <si>
    <t xml:space="preserve">Duration de Macaulay</t>
  </si>
  <si>
    <t xml:space="preserve">=SUMAPRODUCTO(t;flujo/(1+r)^t)/SUMAPRODUCTO(flujo/(1+r)^t)</t>
  </si>
  <si>
    <t xml:space="preserve">También existe =DURACION() con fechas.</t>
  </si>
  <si>
    <t xml:space="preserve">= Macaulay / (1 + r)</t>
  </si>
  <si>
    <t xml:space="preserve">r en la misma periodicidad de los flujos.</t>
  </si>
  <si>
    <t xml:space="preserve">Variación de precio</t>
  </si>
  <si>
    <t xml:space="preserve">ΔP/P ≈ −DM × Δy (+ ½ × C × Δy²)</t>
  </si>
  <si>
    <t xml:space="preserve">DM 4,5 y +0,5% → −2,25%</t>
  </si>
  <si>
    <t xml:space="preserve">Δy en decimal: 0,5% = 0,005.</t>
  </si>
  <si>
    <t xml:space="preserve">= residual + residual × cupón × días/365</t>
  </si>
  <si>
    <t xml:space="preserve">Intereses corridos desde el último pago.</t>
  </si>
  <si>
    <t xml:space="preserve">= precio / valor técnico</t>
  </si>
  <si>
    <t xml:space="preserve">&lt; 100%: bajo la par.</t>
  </si>
  <si>
    <t xml:space="preserve">= sucio − intereses corridos</t>
  </si>
  <si>
    <t xml:space="preserve">En Excel en inglés: VA = PV, TASA = RATE, TIR = IRR, VNA = NPV, TIR.NO.PER = XIRR, SUMAPRODUCTO = SUMPRODUCT. Separador de argumentos en español: «;».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</si>
</sst>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%"/>
    <numFmt numFmtId="167" formatCode="#,##0.00"/>
    <numFmt numFmtId="168" formatCode="0"/>
    <numFmt numFmtId="169" formatCode="0.0000"/>
    <numFmt numFmtId="170" formatCode="0.00"/>
    <numFmt numFmtId="171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EAA"/>
        <bgColor rgb="FF0563C1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EAA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f aca="false">COUNTIF(C9:C58,"✔*")</f>
        <v>0</v>
      </c>
    </row>
    <row r="5" customFormat="false" ht="15" hidden="false" customHeight="false" outlineLevel="0" collapsed="false">
      <c r="A5" s="3" t="s">
        <v>3</v>
      </c>
      <c r="B5" s="3" t="n">
        <f aca="false">COUNTIF(C9:C58,"✔*")+COUNTIF(C9:C58,"✘*")</f>
        <v>0</v>
      </c>
    </row>
    <row r="6" customFormat="false" ht="15" hidden="false" customHeight="false" outlineLevel="0" collapsed="false">
      <c r="A6" s="3" t="s">
        <v>4</v>
      </c>
      <c r="B6" s="4" t="str">
        <f aca="false">IF(B5=0,"",B4/B5)</f>
        <v/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</row>
    <row r="9" customFormat="false" ht="15" hidden="false" customHeight="false" outlineLevel="0" collapsed="false">
      <c r="A9" s="2" t="n">
        <v>1</v>
      </c>
      <c r="B9" s="2" t="s">
        <v>9</v>
      </c>
      <c r="C9" s="2" t="str">
        <f aca="false">IF(Ejercicios!D10="","Pendiente",Ejercicios!D10)</f>
        <v>Pendiente</v>
      </c>
      <c r="D9" s="6" t="str">
        <f aca="false">HYPERLINK("#Ejercicios!A10","Ir al ej. 1")</f>
        <v>Ir al ej. 1</v>
      </c>
    </row>
    <row r="10" customFormat="false" ht="15" hidden="false" customHeight="false" outlineLevel="0" collapsed="false">
      <c r="A10" s="2" t="n">
        <v>2</v>
      </c>
      <c r="B10" s="2" t="s">
        <v>9</v>
      </c>
      <c r="C10" s="2" t="str">
        <f aca="false">IF(Ejercicios!D17="","Pendiente",Ejercicios!D17)</f>
        <v>Pendiente</v>
      </c>
      <c r="D10" s="6" t="str">
        <f aca="false">HYPERLINK("#Ejercicios!A17","Ir al ej. 2")</f>
        <v>Ir al ej. 2</v>
      </c>
    </row>
    <row r="11" customFormat="false" ht="15" hidden="false" customHeight="false" outlineLevel="0" collapsed="false">
      <c r="A11" s="2" t="n">
        <v>3</v>
      </c>
      <c r="B11" s="2" t="s">
        <v>9</v>
      </c>
      <c r="C11" s="2" t="str">
        <f aca="false">IF(Ejercicios!D24="","Pendiente",Ejercicios!D24)</f>
        <v>Pendiente</v>
      </c>
      <c r="D11" s="6" t="str">
        <f aca="false">HYPERLINK("#Ejercicios!A24","Ir al ej. 3")</f>
        <v>Ir al ej. 3</v>
      </c>
    </row>
    <row r="12" customFormat="false" ht="15" hidden="false" customHeight="false" outlineLevel="0" collapsed="false">
      <c r="A12" s="2" t="n">
        <v>4</v>
      </c>
      <c r="B12" s="2" t="s">
        <v>10</v>
      </c>
      <c r="C12" s="2" t="str">
        <f aca="false">IF(Ejercicios!D31="","Pendiente",Ejercicios!D31)</f>
        <v>Pendiente</v>
      </c>
      <c r="D12" s="6" t="str">
        <f aca="false">HYPERLINK("#Ejercicios!A31","Ir al ej. 4")</f>
        <v>Ir al ej. 4</v>
      </c>
    </row>
    <row r="13" customFormat="false" ht="15" hidden="false" customHeight="false" outlineLevel="0" collapsed="false">
      <c r="A13" s="2" t="n">
        <v>5</v>
      </c>
      <c r="B13" s="2" t="s">
        <v>9</v>
      </c>
      <c r="C13" s="2" t="str">
        <f aca="false">IF(Ejercicios!D38="","Pendiente",Ejercicios!D38)</f>
        <v>Pendiente</v>
      </c>
      <c r="D13" s="6" t="str">
        <f aca="false">HYPERLINK("#Ejercicios!A38","Ir al ej. 5")</f>
        <v>Ir al ej. 5</v>
      </c>
    </row>
    <row r="14" customFormat="false" ht="15" hidden="false" customHeight="false" outlineLevel="0" collapsed="false">
      <c r="A14" s="2" t="n">
        <v>6</v>
      </c>
      <c r="B14" s="2" t="s">
        <v>11</v>
      </c>
      <c r="C14" s="2" t="str">
        <f aca="false">IF(Ejercicios!D45="","Pendiente",Ejercicios!D45)</f>
        <v>Pendiente</v>
      </c>
      <c r="D14" s="6" t="str">
        <f aca="false">HYPERLINK("#Ejercicios!A45","Ir al ej. 6")</f>
        <v>Ir al ej. 6</v>
      </c>
    </row>
    <row r="15" customFormat="false" ht="15" hidden="false" customHeight="false" outlineLevel="0" collapsed="false">
      <c r="A15" s="2" t="n">
        <v>7</v>
      </c>
      <c r="B15" s="2" t="s">
        <v>12</v>
      </c>
      <c r="C15" s="2" t="str">
        <f aca="false">IF(Ejercicios!D52="","Pendiente",Ejercicios!D52)</f>
        <v>Pendiente</v>
      </c>
      <c r="D15" s="6" t="str">
        <f aca="false">HYPERLINK("#Ejercicios!A52","Ir al ej. 7")</f>
        <v>Ir al ej. 7</v>
      </c>
    </row>
    <row r="16" customFormat="false" ht="15" hidden="false" customHeight="false" outlineLevel="0" collapsed="false">
      <c r="A16" s="2" t="n">
        <v>8</v>
      </c>
      <c r="B16" s="2" t="s">
        <v>13</v>
      </c>
      <c r="C16" s="2" t="str">
        <f aca="false">IF(Ejercicios!D59="","Pendiente",Ejercicios!D59)</f>
        <v>Pendiente</v>
      </c>
      <c r="D16" s="6" t="str">
        <f aca="false">HYPERLINK("#Ejercicios!A59","Ir al ej. 8")</f>
        <v>Ir al ej. 8</v>
      </c>
    </row>
    <row r="17" customFormat="false" ht="15" hidden="false" customHeight="false" outlineLevel="0" collapsed="false">
      <c r="A17" s="2" t="n">
        <v>9</v>
      </c>
      <c r="B17" s="2" t="s">
        <v>11</v>
      </c>
      <c r="C17" s="2" t="str">
        <f aca="false">IF(Ejercicios!D66="","Pendiente",Ejercicios!D66)</f>
        <v>Pendiente</v>
      </c>
      <c r="D17" s="6" t="str">
        <f aca="false">HYPERLINK("#Ejercicios!A66","Ir al ej. 9")</f>
        <v>Ir al ej. 9</v>
      </c>
    </row>
    <row r="18" customFormat="false" ht="15" hidden="false" customHeight="false" outlineLevel="0" collapsed="false">
      <c r="A18" s="2" t="n">
        <v>10</v>
      </c>
      <c r="B18" s="2" t="s">
        <v>14</v>
      </c>
      <c r="C18" s="2" t="str">
        <f aca="false">IF(Ejercicios!D74="","Pendiente",Ejercicios!D74)</f>
        <v>Pendiente</v>
      </c>
      <c r="D18" s="6" t="str">
        <f aca="false">HYPERLINK("#Ejercicios!A74","Ir al ej. 10")</f>
        <v>Ir al ej. 10</v>
      </c>
    </row>
    <row r="19" customFormat="false" ht="15" hidden="false" customHeight="false" outlineLevel="0" collapsed="false">
      <c r="A19" s="2" t="n">
        <v>11</v>
      </c>
      <c r="B19" s="2" t="s">
        <v>14</v>
      </c>
      <c r="C19" s="2" t="str">
        <f aca="false">IF(Ejercicios!D82="","Pendiente",Ejercicios!D82)</f>
        <v>Pendiente</v>
      </c>
      <c r="D19" s="6" t="str">
        <f aca="false">HYPERLINK("#Ejercicios!A82","Ir al ej. 11")</f>
        <v>Ir al ej. 11</v>
      </c>
    </row>
    <row r="20" customFormat="false" ht="15" hidden="false" customHeight="false" outlineLevel="0" collapsed="false">
      <c r="A20" s="2" t="n">
        <v>12</v>
      </c>
      <c r="B20" s="2" t="s">
        <v>14</v>
      </c>
      <c r="C20" s="2" t="str">
        <f aca="false">IF(Ejercicios!D90="","Pendiente",Ejercicios!D90)</f>
        <v>Pendiente</v>
      </c>
      <c r="D20" s="6" t="str">
        <f aca="false">HYPERLINK("#Ejercicios!A90","Ir al ej. 12")</f>
        <v>Ir al ej. 12</v>
      </c>
    </row>
    <row r="21" customFormat="false" ht="15" hidden="false" customHeight="false" outlineLevel="0" collapsed="false">
      <c r="A21" s="2" t="n">
        <v>13</v>
      </c>
      <c r="B21" s="2" t="s">
        <v>14</v>
      </c>
      <c r="C21" s="2" t="str">
        <f aca="false">IF(Ejercicios!D98="","Pendiente",Ejercicios!D98)</f>
        <v>Pendiente</v>
      </c>
      <c r="D21" s="6" t="str">
        <f aca="false">HYPERLINK("#Ejercicios!A98","Ir al ej. 13")</f>
        <v>Ir al ej. 13</v>
      </c>
    </row>
    <row r="22" customFormat="false" ht="15" hidden="false" customHeight="false" outlineLevel="0" collapsed="false">
      <c r="A22" s="2" t="n">
        <v>14</v>
      </c>
      <c r="B22" s="2" t="s">
        <v>15</v>
      </c>
      <c r="C22" s="2" t="str">
        <f aca="false">IF(Ejercicios!D106="","Pendiente",Ejercicios!D106)</f>
        <v>Pendiente</v>
      </c>
      <c r="D22" s="6" t="str">
        <f aca="false">HYPERLINK("#Ejercicios!A106","Ir al ej. 14")</f>
        <v>Ir al ej. 14</v>
      </c>
    </row>
    <row r="23" customFormat="false" ht="15" hidden="false" customHeight="false" outlineLevel="0" collapsed="false">
      <c r="A23" s="2" t="n">
        <v>15</v>
      </c>
      <c r="B23" s="2" t="s">
        <v>15</v>
      </c>
      <c r="C23" s="2" t="str">
        <f aca="false">IF(Ejercicios!D114="","Pendiente",Ejercicios!D114)</f>
        <v>Pendiente</v>
      </c>
      <c r="D23" s="6" t="str">
        <f aca="false">HYPERLINK("#Ejercicios!A114","Ir al ej. 15")</f>
        <v>Ir al ej. 15</v>
      </c>
    </row>
    <row r="24" customFormat="false" ht="15" hidden="false" customHeight="false" outlineLevel="0" collapsed="false">
      <c r="A24" s="2" t="n">
        <v>16</v>
      </c>
      <c r="B24" s="2" t="s">
        <v>16</v>
      </c>
      <c r="C24" s="2" t="str">
        <f aca="false">IF(Ejercicios!D122="","Pendiente",Ejercicios!D122)</f>
        <v>Pendiente</v>
      </c>
      <c r="D24" s="6" t="str">
        <f aca="false">HYPERLINK("#Ejercicios!A122","Ir al ej. 16")</f>
        <v>Ir al ej. 16</v>
      </c>
    </row>
    <row r="25" customFormat="false" ht="15" hidden="false" customHeight="false" outlineLevel="0" collapsed="false">
      <c r="A25" s="2" t="n">
        <v>17</v>
      </c>
      <c r="B25" s="2" t="s">
        <v>16</v>
      </c>
      <c r="C25" s="2" t="str">
        <f aca="false">IF(Ejercicios!D130="","Pendiente",Ejercicios!D130)</f>
        <v>Pendiente</v>
      </c>
      <c r="D25" s="6" t="str">
        <f aca="false">HYPERLINK("#Ejercicios!A130","Ir al ej. 17")</f>
        <v>Ir al ej. 17</v>
      </c>
    </row>
    <row r="26" customFormat="false" ht="15" hidden="false" customHeight="false" outlineLevel="0" collapsed="false">
      <c r="A26" s="2" t="n">
        <v>18</v>
      </c>
      <c r="B26" s="2" t="s">
        <v>16</v>
      </c>
      <c r="C26" s="2" t="str">
        <f aca="false">IF(Ejercicios!D138="","Pendiente",Ejercicios!D138)</f>
        <v>Pendiente</v>
      </c>
      <c r="D26" s="6" t="str">
        <f aca="false">HYPERLINK("#Ejercicios!A138","Ir al ej. 18")</f>
        <v>Ir al ej. 18</v>
      </c>
    </row>
    <row r="27" customFormat="false" ht="15" hidden="false" customHeight="false" outlineLevel="0" collapsed="false">
      <c r="A27" s="2" t="n">
        <v>19</v>
      </c>
      <c r="B27" s="2" t="s">
        <v>17</v>
      </c>
      <c r="C27" s="2" t="str">
        <f aca="false">IF(Ejercicios!D144="","Pendiente",Ejercicios!D144)</f>
        <v>Pendiente</v>
      </c>
      <c r="D27" s="6" t="str">
        <f aca="false">HYPERLINK("#Ejercicios!A144","Ir al ej. 19")</f>
        <v>Ir al ej. 19</v>
      </c>
    </row>
    <row r="28" customFormat="false" ht="15" hidden="false" customHeight="false" outlineLevel="0" collapsed="false">
      <c r="A28" s="2" t="n">
        <v>20</v>
      </c>
      <c r="B28" s="2" t="s">
        <v>16</v>
      </c>
      <c r="C28" s="2" t="str">
        <f aca="false">IF(Ejercicios!D152="","Pendiente",Ejercicios!D152)</f>
        <v>Pendiente</v>
      </c>
      <c r="D28" s="6" t="str">
        <f aca="false">HYPERLINK("#Ejercicios!A152","Ir al ej. 20")</f>
        <v>Ir al ej. 20</v>
      </c>
    </row>
    <row r="29" customFormat="false" ht="15" hidden="false" customHeight="false" outlineLevel="0" collapsed="false">
      <c r="A29" s="2" t="n">
        <v>21</v>
      </c>
      <c r="B29" s="2" t="s">
        <v>18</v>
      </c>
      <c r="C29" s="2" t="str">
        <f aca="false">IF(Ejercicios!D159="","Pendiente",Ejercicios!D159)</f>
        <v>Pendiente</v>
      </c>
      <c r="D29" s="6" t="str">
        <f aca="false">HYPERLINK("#Ejercicios!A159","Ir al ej. 21")</f>
        <v>Ir al ej. 21</v>
      </c>
    </row>
    <row r="30" customFormat="false" ht="15" hidden="false" customHeight="false" outlineLevel="0" collapsed="false">
      <c r="A30" s="2" t="n">
        <v>22</v>
      </c>
      <c r="B30" s="2" t="s">
        <v>19</v>
      </c>
      <c r="C30" s="2" t="str">
        <f aca="false">IF(Ejercicios!D167="","Pendiente",Ejercicios!D167)</f>
        <v>Pendiente</v>
      </c>
      <c r="D30" s="6" t="str">
        <f aca="false">HYPERLINK("#Ejercicios!A167","Ir al ej. 22")</f>
        <v>Ir al ej. 22</v>
      </c>
    </row>
    <row r="31" customFormat="false" ht="15" hidden="false" customHeight="false" outlineLevel="0" collapsed="false">
      <c r="A31" s="2" t="n">
        <v>23</v>
      </c>
      <c r="B31" s="2" t="s">
        <v>20</v>
      </c>
      <c r="C31" s="2" t="str">
        <f aca="false">IF(Ejercicios!D175="","Pendiente",Ejercicios!D175)</f>
        <v>Pendiente</v>
      </c>
      <c r="D31" s="6" t="str">
        <f aca="false">HYPERLINK("#Ejercicios!A175","Ir al ej. 23")</f>
        <v>Ir al ej. 23</v>
      </c>
    </row>
    <row r="32" customFormat="false" ht="15" hidden="false" customHeight="false" outlineLevel="0" collapsed="false">
      <c r="A32" s="2" t="n">
        <v>24</v>
      </c>
      <c r="B32" s="2" t="s">
        <v>21</v>
      </c>
      <c r="C32" s="2" t="str">
        <f aca="false">IF(Ejercicios!D183="","Pendiente",Ejercicios!D183)</f>
        <v>Pendiente</v>
      </c>
      <c r="D32" s="6" t="str">
        <f aca="false">HYPERLINK("#Ejercicios!A183","Ir al ej. 24")</f>
        <v>Ir al ej. 24</v>
      </c>
    </row>
    <row r="33" customFormat="false" ht="15" hidden="false" customHeight="false" outlineLevel="0" collapsed="false">
      <c r="A33" s="2" t="n">
        <v>25</v>
      </c>
      <c r="B33" s="2" t="s">
        <v>22</v>
      </c>
      <c r="C33" s="2" t="str">
        <f aca="false">IF(Ejercicios!D191="","Pendiente",Ejercicios!D191)</f>
        <v>Pendiente</v>
      </c>
      <c r="D33" s="6" t="str">
        <f aca="false">HYPERLINK("#Ejercicios!A191","Ir al ej. 25")</f>
        <v>Ir al ej. 25</v>
      </c>
    </row>
    <row r="34" customFormat="false" ht="15" hidden="false" customHeight="false" outlineLevel="0" collapsed="false">
      <c r="A34" s="2" t="n">
        <v>26</v>
      </c>
      <c r="B34" s="2" t="s">
        <v>23</v>
      </c>
      <c r="C34" s="2" t="str">
        <f aca="false">IF(Ejercicios!D198="","Pendiente",Ejercicios!D198)</f>
        <v>Pendiente</v>
      </c>
      <c r="D34" s="6" t="str">
        <f aca="false">HYPERLINK("#Ejercicios!A198","Ir al ej. 26")</f>
        <v>Ir al ej. 26</v>
      </c>
    </row>
    <row r="35" customFormat="false" ht="15" hidden="false" customHeight="false" outlineLevel="0" collapsed="false">
      <c r="A35" s="2" t="n">
        <v>27</v>
      </c>
      <c r="B35" s="2" t="s">
        <v>24</v>
      </c>
      <c r="C35" s="2" t="str">
        <f aca="false">IF(Ejercicios!D204="","Pendiente",Ejercicios!D204)</f>
        <v>Pendiente</v>
      </c>
      <c r="D35" s="6" t="str">
        <f aca="false">HYPERLINK("#Ejercicios!A204","Ir al ej. 27")</f>
        <v>Ir al ej. 27</v>
      </c>
    </row>
    <row r="36" customFormat="false" ht="15" hidden="false" customHeight="false" outlineLevel="0" collapsed="false">
      <c r="A36" s="2" t="n">
        <v>28</v>
      </c>
      <c r="B36" s="2" t="s">
        <v>25</v>
      </c>
      <c r="C36" s="2" t="str">
        <f aca="false">IF(Ejercicios!D211="","Pendiente",Ejercicios!D211)</f>
        <v>Pendiente</v>
      </c>
      <c r="D36" s="6" t="str">
        <f aca="false">HYPERLINK("#Ejercicios!A211","Ir al ej. 28")</f>
        <v>Ir al ej. 28</v>
      </c>
    </row>
    <row r="37" customFormat="false" ht="15" hidden="false" customHeight="false" outlineLevel="0" collapsed="false">
      <c r="A37" s="2" t="n">
        <v>29</v>
      </c>
      <c r="B37" s="2" t="s">
        <v>26</v>
      </c>
      <c r="C37" s="2" t="str">
        <f aca="false">IF(Ejercicios!D217="","Pendiente",Ejercicios!D217)</f>
        <v>Pendiente</v>
      </c>
      <c r="D37" s="6" t="str">
        <f aca="false">HYPERLINK("#Ejercicios!A217","Ir al ej. 29")</f>
        <v>Ir al ej. 29</v>
      </c>
    </row>
    <row r="38" customFormat="false" ht="15" hidden="false" customHeight="false" outlineLevel="0" collapsed="false">
      <c r="A38" s="2" t="n">
        <v>30</v>
      </c>
      <c r="B38" s="2" t="s">
        <v>27</v>
      </c>
      <c r="C38" s="2" t="str">
        <f aca="false">IF(Ejercicios!D223="","Pendiente",Ejercicios!D223)</f>
        <v>Pendiente</v>
      </c>
      <c r="D38" s="6" t="str">
        <f aca="false">HYPERLINK("#Ejercicios!A223","Ir al ej. 30")</f>
        <v>Ir al ej. 30</v>
      </c>
    </row>
    <row r="39" customFormat="false" ht="15" hidden="false" customHeight="false" outlineLevel="0" collapsed="false">
      <c r="A39" s="2" t="n">
        <v>31</v>
      </c>
      <c r="B39" s="2" t="s">
        <v>28</v>
      </c>
      <c r="C39" s="2" t="str">
        <f aca="false">IF(Ejercicios!D229="","Pendiente",Ejercicios!D229)</f>
        <v>Pendiente</v>
      </c>
      <c r="D39" s="6" t="str">
        <f aca="false">HYPERLINK("#Ejercicios!A229","Ir al ej. 31")</f>
        <v>Ir al ej. 31</v>
      </c>
    </row>
    <row r="40" customFormat="false" ht="15" hidden="false" customHeight="false" outlineLevel="0" collapsed="false">
      <c r="A40" s="2" t="n">
        <v>32</v>
      </c>
      <c r="B40" s="2" t="s">
        <v>28</v>
      </c>
      <c r="C40" s="2" t="str">
        <f aca="false">IF(Ejercicios!D237="","Pendiente",Ejercicios!D237)</f>
        <v>Pendiente</v>
      </c>
      <c r="D40" s="6" t="str">
        <f aca="false">HYPERLINK("#Ejercicios!A237","Ir al ej. 32")</f>
        <v>Ir al ej. 32</v>
      </c>
    </row>
    <row r="41" customFormat="false" ht="15" hidden="false" customHeight="false" outlineLevel="0" collapsed="false">
      <c r="A41" s="2" t="n">
        <v>33</v>
      </c>
      <c r="B41" s="2" t="s">
        <v>28</v>
      </c>
      <c r="C41" s="2" t="str">
        <f aca="false">IF(Ejercicios!D243="","Pendiente",Ejercicios!D243)</f>
        <v>Pendiente</v>
      </c>
      <c r="D41" s="6" t="str">
        <f aca="false">HYPERLINK("#Ejercicios!A243","Ir al ej. 33")</f>
        <v>Ir al ej. 33</v>
      </c>
    </row>
    <row r="42" customFormat="false" ht="15" hidden="false" customHeight="false" outlineLevel="0" collapsed="false">
      <c r="A42" s="2" t="n">
        <v>34</v>
      </c>
      <c r="B42" s="2" t="s">
        <v>29</v>
      </c>
      <c r="C42" s="2" t="str">
        <f aca="false">IF(Ejercicios!D250="","Pendiente",Ejercicios!D250)</f>
        <v>Pendiente</v>
      </c>
      <c r="D42" s="6" t="str">
        <f aca="false">HYPERLINK("#Ejercicios!A250","Ir al ej. 34")</f>
        <v>Ir al ej. 34</v>
      </c>
    </row>
    <row r="43" customFormat="false" ht="15" hidden="false" customHeight="false" outlineLevel="0" collapsed="false">
      <c r="A43" s="2" t="n">
        <v>35</v>
      </c>
      <c r="B43" s="2" t="s">
        <v>30</v>
      </c>
      <c r="C43" s="2" t="str">
        <f aca="false">IF(Ejercicios!D257="","Pendiente",Ejercicios!D257)</f>
        <v>Pendiente</v>
      </c>
      <c r="D43" s="6" t="str">
        <f aca="false">HYPERLINK("#Ejercicios!A257","Ir al ej. 35")</f>
        <v>Ir al ej. 35</v>
      </c>
    </row>
    <row r="44" customFormat="false" ht="15" hidden="false" customHeight="false" outlineLevel="0" collapsed="false">
      <c r="A44" s="2" t="n">
        <v>36</v>
      </c>
      <c r="B44" s="2" t="s">
        <v>30</v>
      </c>
      <c r="C44" s="2" t="str">
        <f aca="false">IF(Ejercicios!D263="","Pendiente",Ejercicios!D263)</f>
        <v>Pendiente</v>
      </c>
      <c r="D44" s="6" t="str">
        <f aca="false">HYPERLINK("#Ejercicios!A263","Ir al ej. 36")</f>
        <v>Ir al ej. 36</v>
      </c>
    </row>
    <row r="45" customFormat="false" ht="15" hidden="false" customHeight="false" outlineLevel="0" collapsed="false">
      <c r="A45" s="2" t="n">
        <v>37</v>
      </c>
      <c r="B45" s="2" t="s">
        <v>29</v>
      </c>
      <c r="C45" s="2" t="str">
        <f aca="false">IF(Ejercicios!D270="","Pendiente",Ejercicios!D270)</f>
        <v>Pendiente</v>
      </c>
      <c r="D45" s="6" t="str">
        <f aca="false">HYPERLINK("#Ejercicios!A270","Ir al ej. 37")</f>
        <v>Ir al ej. 37</v>
      </c>
    </row>
    <row r="46" customFormat="false" ht="15" hidden="false" customHeight="false" outlineLevel="0" collapsed="false">
      <c r="A46" s="2" t="n">
        <v>38</v>
      </c>
      <c r="B46" s="2" t="s">
        <v>31</v>
      </c>
      <c r="C46" s="2" t="str">
        <f aca="false">IF(Ejercicios!D277="","Pendiente",Ejercicios!D277)</f>
        <v>Pendiente</v>
      </c>
      <c r="D46" s="6" t="str">
        <f aca="false">HYPERLINK("#Ejercicios!A277","Ir al ej. 38")</f>
        <v>Ir al ej. 38</v>
      </c>
    </row>
    <row r="47" customFormat="false" ht="15" hidden="false" customHeight="false" outlineLevel="0" collapsed="false">
      <c r="A47" s="2" t="n">
        <v>39</v>
      </c>
      <c r="B47" s="2" t="s">
        <v>32</v>
      </c>
      <c r="C47" s="2" t="str">
        <f aca="false">IF(Ejercicios!D283="","Pendiente",Ejercicios!D283)</f>
        <v>Pendiente</v>
      </c>
      <c r="D47" s="6" t="str">
        <f aca="false">HYPERLINK("#Ejercicios!A283","Ir al ej. 39")</f>
        <v>Ir al ej. 39</v>
      </c>
    </row>
    <row r="48" customFormat="false" ht="15" hidden="false" customHeight="false" outlineLevel="0" collapsed="false">
      <c r="A48" s="2" t="n">
        <v>40</v>
      </c>
      <c r="B48" s="2" t="s">
        <v>33</v>
      </c>
      <c r="C48" s="2" t="str">
        <f aca="false">IF(Ejercicios!D290="","Pendiente",Ejercicios!D290)</f>
        <v>Pendiente</v>
      </c>
      <c r="D48" s="6" t="str">
        <f aca="false">HYPERLINK("#Ejercicios!A290","Ir al ej. 40")</f>
        <v>Ir al ej. 40</v>
      </c>
    </row>
    <row r="49" customFormat="false" ht="15" hidden="false" customHeight="false" outlineLevel="0" collapsed="false">
      <c r="A49" s="2" t="n">
        <v>41</v>
      </c>
      <c r="B49" s="2" t="s">
        <v>34</v>
      </c>
      <c r="C49" s="2" t="str">
        <f aca="false">IF(Ejercicios!D297="","Pendiente",Ejercicios!D297)</f>
        <v>Pendiente</v>
      </c>
      <c r="D49" s="6" t="str">
        <f aca="false">HYPERLINK("#Ejercicios!A297","Ir al ej. 41")</f>
        <v>Ir al ej. 41</v>
      </c>
    </row>
    <row r="50" customFormat="false" ht="15" hidden="false" customHeight="false" outlineLevel="0" collapsed="false">
      <c r="A50" s="2" t="n">
        <v>42</v>
      </c>
      <c r="B50" s="2" t="s">
        <v>35</v>
      </c>
      <c r="C50" s="2" t="str">
        <f aca="false">IF(Ejercicios!D304="","Pendiente",Ejercicios!D304)</f>
        <v>Pendiente</v>
      </c>
      <c r="D50" s="6" t="str">
        <f aca="false">HYPERLINK("#Ejercicios!A304","Ir al ej. 42")</f>
        <v>Ir al ej. 42</v>
      </c>
    </row>
    <row r="51" customFormat="false" ht="15" hidden="false" customHeight="false" outlineLevel="0" collapsed="false">
      <c r="A51" s="2" t="n">
        <v>43</v>
      </c>
      <c r="B51" s="2" t="s">
        <v>36</v>
      </c>
      <c r="C51" s="2" t="str">
        <f aca="false">IF(Ejercicios!D312="","Pendiente",Ejercicios!D312)</f>
        <v>Pendiente</v>
      </c>
      <c r="D51" s="6" t="str">
        <f aca="false">HYPERLINK("#Ejercicios!A312","Ir al ej. 43")</f>
        <v>Ir al ej. 43</v>
      </c>
    </row>
    <row r="52" customFormat="false" ht="15" hidden="false" customHeight="false" outlineLevel="0" collapsed="false">
      <c r="A52" s="2" t="n">
        <v>44</v>
      </c>
      <c r="B52" s="2" t="s">
        <v>37</v>
      </c>
      <c r="C52" s="2" t="str">
        <f aca="false">IF(Ejercicios!D318="","Pendiente",Ejercicios!D318)</f>
        <v>Pendiente</v>
      </c>
      <c r="D52" s="6" t="str">
        <f aca="false">HYPERLINK("#Ejercicios!A318","Ir al ej. 44")</f>
        <v>Ir al ej. 44</v>
      </c>
    </row>
    <row r="53" customFormat="false" ht="15" hidden="false" customHeight="false" outlineLevel="0" collapsed="false">
      <c r="A53" s="2" t="n">
        <v>45</v>
      </c>
      <c r="B53" s="2" t="s">
        <v>38</v>
      </c>
      <c r="C53" s="2" t="str">
        <f aca="false">IF(Ejercicios!D326="","Pendiente",Ejercicios!D326)</f>
        <v>Pendiente</v>
      </c>
      <c r="D53" s="6" t="str">
        <f aca="false">HYPERLINK("#Ejercicios!A326","Ir al ej. 45")</f>
        <v>Ir al ej. 45</v>
      </c>
    </row>
    <row r="54" customFormat="false" ht="15" hidden="false" customHeight="false" outlineLevel="0" collapsed="false">
      <c r="A54" s="2" t="n">
        <v>46</v>
      </c>
      <c r="B54" s="2" t="s">
        <v>39</v>
      </c>
      <c r="C54" s="2" t="str">
        <f aca="false">IF(Ejercicios!D333="","Pendiente",Ejercicios!D333)</f>
        <v>Pendiente</v>
      </c>
      <c r="D54" s="6" t="str">
        <f aca="false">HYPERLINK("#Ejercicios!A333","Ir al ej. 46")</f>
        <v>Ir al ej. 46</v>
      </c>
    </row>
    <row r="55" customFormat="false" ht="15" hidden="false" customHeight="false" outlineLevel="0" collapsed="false">
      <c r="A55" s="2" t="n">
        <v>47</v>
      </c>
      <c r="B55" s="2" t="s">
        <v>40</v>
      </c>
      <c r="C55" s="2" t="str">
        <f aca="false">IF(Ejercicios!D339="","Pendiente",Ejercicios!D339)</f>
        <v>Pendiente</v>
      </c>
      <c r="D55" s="6" t="str">
        <f aca="false">HYPERLINK("#Ejercicios!A339","Ir al ej. 47")</f>
        <v>Ir al ej. 47</v>
      </c>
    </row>
    <row r="56" customFormat="false" ht="15" hidden="false" customHeight="false" outlineLevel="0" collapsed="false">
      <c r="A56" s="2" t="n">
        <v>48</v>
      </c>
      <c r="B56" s="2" t="s">
        <v>40</v>
      </c>
      <c r="C56" s="2" t="str">
        <f aca="false">IF(Ejercicios!D345="","Pendiente",Ejercicios!D345)</f>
        <v>Pendiente</v>
      </c>
      <c r="D56" s="6" t="str">
        <f aca="false">HYPERLINK("#Ejercicios!A345","Ir al ej. 48")</f>
        <v>Ir al ej. 48</v>
      </c>
    </row>
    <row r="57" customFormat="false" ht="15" hidden="false" customHeight="false" outlineLevel="0" collapsed="false">
      <c r="A57" s="2" t="n">
        <v>49</v>
      </c>
      <c r="B57" s="2" t="s">
        <v>41</v>
      </c>
      <c r="C57" s="2" t="str">
        <f aca="false">IF(Ejercicios!D355="","Pendiente",Ejercicios!D355)</f>
        <v>Pendiente</v>
      </c>
      <c r="D57" s="6" t="str">
        <f aca="false">HYPERLINK("#Ejercicios!A355","Ir al ej. 49")</f>
        <v>Ir al ej. 49</v>
      </c>
    </row>
    <row r="58" customFormat="false" ht="15" hidden="false" customHeight="false" outlineLevel="0" collapsed="false">
      <c r="A58" s="2" t="n">
        <v>50</v>
      </c>
      <c r="B58" s="2" t="s">
        <v>41</v>
      </c>
      <c r="C58" s="2" t="str">
        <f aca="false">IF(Ejercicios!D363="","Pendiente",Ejercicios!D363)</f>
        <v>Pendiente</v>
      </c>
      <c r="D58" s="6" t="str">
        <f aca="false">HYPERLINK("#Ejercicios!A363","Ir al ej. 50")</f>
        <v>Ir al ej. 50</v>
      </c>
    </row>
  </sheetData>
  <conditionalFormatting sqref="C9:C58">
    <cfRule type="expression" priority="2" aboveAverage="0" equalAverage="0" bottom="0" percent="0" rank="0" text="" dxfId="0">
      <formula>LEFT(C9,1)="✔"</formula>
    </cfRule>
    <cfRule type="expression" priority="3" aboveAverage="0" equalAverage="0" bottom="0" percent="0" rank="0" text="" dxfId="1">
      <formula>LEFT(C9,1)="✘"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3"/>
    <col collapsed="false" customWidth="true" hidden="false" outlineLevel="0" max="13" min="4" style="0" width="11"/>
  </cols>
  <sheetData>
    <row r="1" customFormat="false" ht="17.35" hidden="false" customHeight="false" outlineLevel="0" collapsed="false">
      <c r="A1" s="1" t="s">
        <v>42</v>
      </c>
    </row>
    <row r="2" customFormat="false" ht="48" hidden="false" customHeight="true" outlineLevel="0" collapsed="false">
      <c r="A2" s="7" t="s">
        <v>43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44</v>
      </c>
      <c r="B3" s="9" t="n">
        <v>0.0772</v>
      </c>
      <c r="C3" s="8" t="s">
        <v>45</v>
      </c>
    </row>
    <row r="5" customFormat="false" ht="15" hidden="false" customHeight="false" outlineLevel="0" collapsed="false">
      <c r="A5" s="5" t="s">
        <v>46</v>
      </c>
      <c r="B5" s="5" t="s">
        <v>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Format="false" ht="18.75" hidden="false" customHeight="true" outlineLevel="0" collapsed="false">
      <c r="A6" s="7" t="s">
        <v>47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Format="false" ht="15" hidden="false" customHeight="false" outlineLevel="0" collapsed="false">
      <c r="A7" s="2" t="s">
        <v>48</v>
      </c>
      <c r="B7" s="11" t="n">
        <v>100</v>
      </c>
    </row>
    <row r="8" customFormat="false" ht="15" hidden="false" customHeight="false" outlineLevel="0" collapsed="false">
      <c r="A8" s="2" t="s">
        <v>49</v>
      </c>
      <c r="B8" s="12" t="n">
        <v>5</v>
      </c>
    </row>
    <row r="9" customFormat="false" ht="15" hidden="false" customHeight="false" outlineLevel="0" collapsed="false">
      <c r="A9" s="2" t="s">
        <v>50</v>
      </c>
      <c r="B9" s="13" t="n">
        <v>0.1</v>
      </c>
    </row>
    <row r="10" customFormat="false" ht="15" hidden="false" customHeight="false" outlineLevel="0" collapsed="false">
      <c r="A10" s="3" t="s">
        <v>51</v>
      </c>
      <c r="B10" s="14"/>
      <c r="D10" s="3" t="str">
        <f aca="false">IF(B10="","",IF(ABS(B10-Soluciones!$C$4)&lt;=MAX(0.003*ABS(Soluciones!$C$4),0.0001),"✔ Correcto","✘ Revisá"))</f>
        <v/>
      </c>
    </row>
    <row r="12" customFormat="false" ht="15" hidden="false" customHeight="false" outlineLevel="0" collapsed="false">
      <c r="A12" s="5" t="s">
        <v>52</v>
      </c>
      <c r="B12" s="5" t="s">
        <v>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8.75" hidden="false" customHeight="true" outlineLevel="0" collapsed="false">
      <c r="A13" s="7" t="s">
        <v>53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customFormat="false" ht="15" hidden="false" customHeight="false" outlineLevel="0" collapsed="false">
      <c r="A14" s="2" t="s">
        <v>48</v>
      </c>
      <c r="B14" s="11" t="n">
        <v>1000</v>
      </c>
    </row>
    <row r="15" customFormat="false" ht="15" hidden="false" customHeight="false" outlineLevel="0" collapsed="false">
      <c r="A15" s="2" t="s">
        <v>54</v>
      </c>
      <c r="B15" s="12" t="n">
        <v>3</v>
      </c>
    </row>
    <row r="16" customFormat="false" ht="15" hidden="false" customHeight="false" outlineLevel="0" collapsed="false">
      <c r="A16" s="2" t="s">
        <v>55</v>
      </c>
      <c r="B16" s="13" t="n">
        <v>0.08</v>
      </c>
    </row>
    <row r="17" customFormat="false" ht="15" hidden="false" customHeight="false" outlineLevel="0" collapsed="false">
      <c r="A17" s="3" t="s">
        <v>51</v>
      </c>
      <c r="B17" s="14"/>
      <c r="D17" s="3" t="str">
        <f aca="false">IF(B17="","",IF(ABS(B17-Soluciones!$C$5)&lt;=MAX(0.003*ABS(Soluciones!$C$5),0.0001),"✔ Correcto","✘ Revisá"))</f>
        <v/>
      </c>
    </row>
    <row r="19" customFormat="false" ht="15" hidden="false" customHeight="false" outlineLevel="0" collapsed="false">
      <c r="A19" s="5" t="s">
        <v>56</v>
      </c>
      <c r="B19" s="5" t="s">
        <v>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8.75" hidden="false" customHeight="true" outlineLevel="0" collapsed="false">
      <c r="A20" s="7" t="s">
        <v>57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5" hidden="false" customHeight="false" outlineLevel="0" collapsed="false">
      <c r="A21" s="2" t="s">
        <v>48</v>
      </c>
      <c r="B21" s="11" t="n">
        <v>100</v>
      </c>
    </row>
    <row r="22" customFormat="false" ht="15" hidden="false" customHeight="false" outlineLevel="0" collapsed="false">
      <c r="A22" s="2" t="s">
        <v>58</v>
      </c>
      <c r="B22" s="12" t="n">
        <v>180</v>
      </c>
    </row>
    <row r="23" customFormat="false" ht="15" hidden="false" customHeight="false" outlineLevel="0" collapsed="false">
      <c r="A23" s="2" t="s">
        <v>59</v>
      </c>
      <c r="B23" s="13" t="n">
        <v>0.45</v>
      </c>
    </row>
    <row r="24" customFormat="false" ht="15" hidden="false" customHeight="false" outlineLevel="0" collapsed="false">
      <c r="A24" s="3" t="s">
        <v>51</v>
      </c>
      <c r="B24" s="14"/>
      <c r="D24" s="3" t="str">
        <f aca="false">IF(B24="","",IF(ABS(B24-Soluciones!$C$6)&lt;=MAX(0.003*ABS(Soluciones!$C$6),0.0001),"✔ Correcto","✘ Revisá"))</f>
        <v/>
      </c>
    </row>
    <row r="26" customFormat="false" ht="15" hidden="false" customHeight="false" outlineLevel="0" collapsed="false">
      <c r="A26" s="5" t="s">
        <v>60</v>
      </c>
      <c r="B26" s="5" t="s">
        <v>10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customFormat="false" ht="18.75" hidden="false" customHeight="true" outlineLevel="0" collapsed="false">
      <c r="A27" s="7" t="s">
        <v>61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customFormat="false" ht="15" hidden="false" customHeight="false" outlineLevel="0" collapsed="false">
      <c r="A28" s="2" t="s">
        <v>48</v>
      </c>
      <c r="B28" s="11" t="n">
        <v>1000</v>
      </c>
    </row>
    <row r="29" customFormat="false" ht="15" hidden="false" customHeight="false" outlineLevel="0" collapsed="false">
      <c r="A29" s="2" t="s">
        <v>62</v>
      </c>
      <c r="B29" s="12" t="n">
        <v>90</v>
      </c>
    </row>
    <row r="30" customFormat="false" ht="15" hidden="false" customHeight="false" outlineLevel="0" collapsed="false">
      <c r="A30" s="2" t="s">
        <v>63</v>
      </c>
      <c r="B30" s="13" t="n">
        <v>0.36</v>
      </c>
    </row>
    <row r="31" customFormat="false" ht="15" hidden="false" customHeight="false" outlineLevel="0" collapsed="false">
      <c r="A31" s="3" t="s">
        <v>51</v>
      </c>
      <c r="B31" s="14"/>
      <c r="D31" s="3" t="str">
        <f aca="false">IF(B31="","",IF(ABS(B31-Soluciones!$C$7)&lt;=MAX(0.003*ABS(Soluciones!$C$7),0.0001),"✔ Correcto","✘ Revisá"))</f>
        <v/>
      </c>
    </row>
    <row r="33" customFormat="false" ht="15" hidden="false" customHeight="false" outlineLevel="0" collapsed="false">
      <c r="A33" s="5" t="s">
        <v>64</v>
      </c>
      <c r="B33" s="5" t="s">
        <v>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8.75" hidden="false" customHeight="true" outlineLevel="0" collapsed="false">
      <c r="A34" s="7" t="s">
        <v>65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customFormat="false" ht="15" hidden="false" customHeight="false" outlineLevel="0" collapsed="false">
      <c r="A35" s="2" t="s">
        <v>48</v>
      </c>
      <c r="B35" s="11" t="n">
        <v>100</v>
      </c>
    </row>
    <row r="36" customFormat="false" ht="15" hidden="false" customHeight="false" outlineLevel="0" collapsed="false">
      <c r="A36" s="2" t="s">
        <v>66</v>
      </c>
      <c r="B36" s="12" t="n">
        <v>4</v>
      </c>
    </row>
    <row r="37" customFormat="false" ht="15" hidden="false" customHeight="false" outlineLevel="0" collapsed="false">
      <c r="A37" s="2" t="s">
        <v>67</v>
      </c>
      <c r="B37" s="13" t="n">
        <v>0.05</v>
      </c>
    </row>
    <row r="38" customFormat="false" ht="15" hidden="false" customHeight="false" outlineLevel="0" collapsed="false">
      <c r="A38" s="3" t="s">
        <v>51</v>
      </c>
      <c r="B38" s="14"/>
      <c r="D38" s="3" t="str">
        <f aca="false">IF(B38="","",IF(ABS(B38-Soluciones!$C$8)&lt;=MAX(0.003*ABS(Soluciones!$C$8),0.0001),"✔ Correcto","✘ Revisá"))</f>
        <v/>
      </c>
    </row>
    <row r="40" customFormat="false" ht="15" hidden="false" customHeight="false" outlineLevel="0" collapsed="false">
      <c r="A40" s="5" t="s">
        <v>68</v>
      </c>
      <c r="B40" s="5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customFormat="false" ht="18.75" hidden="false" customHeight="true" outlineLevel="0" collapsed="false">
      <c r="A41" s="7" t="s">
        <v>69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customFormat="false" ht="15" hidden="false" customHeight="false" outlineLevel="0" collapsed="false">
      <c r="A42" s="2" t="s">
        <v>70</v>
      </c>
      <c r="B42" s="11" t="n">
        <v>80</v>
      </c>
    </row>
    <row r="43" customFormat="false" ht="15" hidden="false" customHeight="false" outlineLevel="0" collapsed="false">
      <c r="A43" s="2" t="s">
        <v>48</v>
      </c>
      <c r="B43" s="11" t="n">
        <v>100</v>
      </c>
    </row>
    <row r="44" customFormat="false" ht="15" hidden="false" customHeight="false" outlineLevel="0" collapsed="false">
      <c r="A44" s="2" t="s">
        <v>54</v>
      </c>
      <c r="B44" s="12" t="n">
        <v>3</v>
      </c>
    </row>
    <row r="45" customFormat="false" ht="15" hidden="false" customHeight="false" outlineLevel="0" collapsed="false">
      <c r="A45" s="3" t="s">
        <v>51</v>
      </c>
      <c r="B45" s="15"/>
      <c r="D45" s="3" t="str">
        <f aca="false">IF(B45="","",IF(ABS(B45-Soluciones!$C$9)&lt;=MAX(0.003*ABS(Soluciones!$C$9),0.0001),"✔ Correcto","✘ Revisá"))</f>
        <v/>
      </c>
    </row>
    <row r="47" customFormat="false" ht="15" hidden="false" customHeight="false" outlineLevel="0" collapsed="false">
      <c r="A47" s="5" t="s">
        <v>71</v>
      </c>
      <c r="B47" s="5" t="s">
        <v>12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customFormat="false" ht="18.75" hidden="false" customHeight="true" outlineLevel="0" collapsed="false">
      <c r="A48" s="7" t="s">
        <v>72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customFormat="false" ht="15" hidden="false" customHeight="false" outlineLevel="0" collapsed="false">
      <c r="A49" s="2" t="s">
        <v>70</v>
      </c>
      <c r="B49" s="11" t="n">
        <v>950</v>
      </c>
    </row>
    <row r="50" customFormat="false" ht="15" hidden="false" customHeight="false" outlineLevel="0" collapsed="false">
      <c r="A50" s="2" t="s">
        <v>48</v>
      </c>
      <c r="B50" s="11" t="n">
        <v>1000</v>
      </c>
    </row>
    <row r="51" customFormat="false" ht="15" hidden="false" customHeight="false" outlineLevel="0" collapsed="false">
      <c r="A51" s="2" t="s">
        <v>62</v>
      </c>
      <c r="B51" s="12" t="n">
        <v>120</v>
      </c>
    </row>
    <row r="52" customFormat="false" ht="15" hidden="false" customHeight="false" outlineLevel="0" collapsed="false">
      <c r="A52" s="3" t="s">
        <v>51</v>
      </c>
      <c r="B52" s="15"/>
      <c r="D52" s="3" t="str">
        <f aca="false">IF(B52="","",IF(ABS(B52-Soluciones!$C$10)&lt;=MAX(0.003*ABS(Soluciones!$C$10),0.0001),"✔ Correcto","✘ Revisá"))</f>
        <v/>
      </c>
    </row>
    <row r="54" customFormat="false" ht="15" hidden="false" customHeight="false" outlineLevel="0" collapsed="false">
      <c r="A54" s="5" t="s">
        <v>73</v>
      </c>
      <c r="B54" s="5" t="s">
        <v>13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customFormat="false" ht="18.75" hidden="false" customHeight="true" outlineLevel="0" collapsed="false">
      <c r="A55" s="7" t="s">
        <v>74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customFormat="false" ht="15" hidden="false" customHeight="false" outlineLevel="0" collapsed="false">
      <c r="A56" s="2" t="s">
        <v>70</v>
      </c>
      <c r="B56" s="11" t="n">
        <v>950</v>
      </c>
    </row>
    <row r="57" customFormat="false" ht="15" hidden="false" customHeight="false" outlineLevel="0" collapsed="false">
      <c r="A57" s="2" t="s">
        <v>48</v>
      </c>
      <c r="B57" s="11" t="n">
        <v>1000</v>
      </c>
    </row>
    <row r="58" customFormat="false" ht="15" hidden="false" customHeight="false" outlineLevel="0" collapsed="false">
      <c r="A58" s="2" t="s">
        <v>62</v>
      </c>
      <c r="B58" s="12" t="n">
        <v>120</v>
      </c>
    </row>
    <row r="59" customFormat="false" ht="15" hidden="false" customHeight="false" outlineLevel="0" collapsed="false">
      <c r="A59" s="3" t="s">
        <v>51</v>
      </c>
      <c r="B59" s="15"/>
      <c r="D59" s="3" t="str">
        <f aca="false">IF(B59="","",IF(ABS(B59-Soluciones!$C$11)&lt;=MAX(0.003*ABS(Soluciones!$C$11),0.0001),"✔ Correcto","✘ Revisá"))</f>
        <v/>
      </c>
    </row>
    <row r="61" customFormat="false" ht="15" hidden="false" customHeight="false" outlineLevel="0" collapsed="false">
      <c r="A61" s="5" t="s">
        <v>75</v>
      </c>
      <c r="B61" s="5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customFormat="false" ht="18.75" hidden="false" customHeight="true" outlineLevel="0" collapsed="false">
      <c r="A62" s="7" t="s">
        <v>76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customFormat="false" ht="15" hidden="false" customHeight="false" outlineLevel="0" collapsed="false">
      <c r="A63" s="2" t="s">
        <v>70</v>
      </c>
      <c r="B63" s="11" t="n">
        <v>399.85</v>
      </c>
    </row>
    <row r="64" customFormat="false" ht="15" hidden="false" customHeight="false" outlineLevel="0" collapsed="false">
      <c r="A64" s="2" t="s">
        <v>48</v>
      </c>
      <c r="B64" s="11" t="n">
        <v>1000</v>
      </c>
    </row>
    <row r="65" customFormat="false" ht="15" hidden="false" customHeight="false" outlineLevel="0" collapsed="false">
      <c r="A65" s="2" t="s">
        <v>54</v>
      </c>
      <c r="B65" s="12" t="n">
        <v>10</v>
      </c>
    </row>
    <row r="66" customFormat="false" ht="15" hidden="false" customHeight="false" outlineLevel="0" collapsed="false">
      <c r="A66" s="3" t="s">
        <v>51</v>
      </c>
      <c r="B66" s="15"/>
      <c r="D66" s="3" t="str">
        <f aca="false">IF(B66="","",IF(ABS(B66-Soluciones!$C$12)&lt;=MAX(0.003*ABS(Soluciones!$C$12),0.0001),"✔ Correcto","✘ Revisá"))</f>
        <v/>
      </c>
    </row>
    <row r="68" customFormat="false" ht="15" hidden="false" customHeight="false" outlineLevel="0" collapsed="false">
      <c r="A68" s="5" t="s">
        <v>77</v>
      </c>
      <c r="B68" s="5" t="s">
        <v>14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customFormat="false" ht="18.75" hidden="false" customHeight="true" outlineLevel="0" collapsed="false">
      <c r="A69" s="7" t="s">
        <v>78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customFormat="false" ht="15" hidden="false" customHeight="false" outlineLevel="0" collapsed="false">
      <c r="A70" s="2" t="s">
        <v>48</v>
      </c>
      <c r="B70" s="11" t="n">
        <v>100</v>
      </c>
    </row>
    <row r="71" customFormat="false" ht="15" hidden="false" customHeight="false" outlineLevel="0" collapsed="false">
      <c r="A71" s="2" t="s">
        <v>79</v>
      </c>
      <c r="B71" s="13" t="n">
        <v>0.08</v>
      </c>
    </row>
    <row r="72" customFormat="false" ht="15" hidden="false" customHeight="false" outlineLevel="0" collapsed="false">
      <c r="A72" s="2" t="s">
        <v>54</v>
      </c>
      <c r="B72" s="12" t="n">
        <v>5</v>
      </c>
    </row>
    <row r="73" customFormat="false" ht="15" hidden="false" customHeight="false" outlineLevel="0" collapsed="false">
      <c r="A73" s="2" t="s">
        <v>55</v>
      </c>
      <c r="B73" s="13" t="n">
        <v>0.1</v>
      </c>
    </row>
    <row r="74" customFormat="false" ht="15" hidden="false" customHeight="false" outlineLevel="0" collapsed="false">
      <c r="A74" s="3" t="s">
        <v>51</v>
      </c>
      <c r="B74" s="14"/>
      <c r="D74" s="3" t="str">
        <f aca="false">IF(B74="","",IF(ABS(B74-Soluciones!$C$13)&lt;=MAX(0.003*ABS(Soluciones!$C$13),0.0001),"✔ Correcto","✘ Revisá"))</f>
        <v/>
      </c>
    </row>
    <row r="76" customFormat="false" ht="15" hidden="false" customHeight="false" outlineLevel="0" collapsed="false">
      <c r="A76" s="5" t="s">
        <v>80</v>
      </c>
      <c r="B76" s="5" t="s">
        <v>14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customFormat="false" ht="18.75" hidden="false" customHeight="true" outlineLevel="0" collapsed="false">
      <c r="A77" s="7" t="s">
        <v>81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customFormat="false" ht="15" hidden="false" customHeight="false" outlineLevel="0" collapsed="false">
      <c r="A78" s="2" t="s">
        <v>48</v>
      </c>
      <c r="B78" s="11" t="n">
        <v>1000</v>
      </c>
    </row>
    <row r="79" customFormat="false" ht="15" hidden="false" customHeight="false" outlineLevel="0" collapsed="false">
      <c r="A79" s="2" t="s">
        <v>82</v>
      </c>
      <c r="B79" s="11" t="n">
        <v>100</v>
      </c>
    </row>
    <row r="80" customFormat="false" ht="15" hidden="false" customHeight="false" outlineLevel="0" collapsed="false">
      <c r="A80" s="2" t="s">
        <v>54</v>
      </c>
      <c r="B80" s="12" t="n">
        <v>4</v>
      </c>
    </row>
    <row r="81" customFormat="false" ht="15" hidden="false" customHeight="false" outlineLevel="0" collapsed="false">
      <c r="A81" s="2" t="s">
        <v>55</v>
      </c>
      <c r="B81" s="13" t="n">
        <v>0.12</v>
      </c>
    </row>
    <row r="82" customFormat="false" ht="15" hidden="false" customHeight="false" outlineLevel="0" collapsed="false">
      <c r="A82" s="3" t="s">
        <v>51</v>
      </c>
      <c r="B82" s="14"/>
      <c r="D82" s="3" t="str">
        <f aca="false">IF(B82="","",IF(ABS(B82-Soluciones!$C$14)&lt;=MAX(0.003*ABS(Soluciones!$C$14),0.0001),"✔ Correcto","✘ Revisá"))</f>
        <v/>
      </c>
    </row>
    <row r="84" customFormat="false" ht="15" hidden="false" customHeight="false" outlineLevel="0" collapsed="false">
      <c r="A84" s="5" t="s">
        <v>83</v>
      </c>
      <c r="B84" s="5" t="s">
        <v>14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customFormat="false" ht="18.75" hidden="false" customHeight="true" outlineLevel="0" collapsed="false">
      <c r="A85" s="7" t="s">
        <v>84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customFormat="false" ht="15" hidden="false" customHeight="false" outlineLevel="0" collapsed="false">
      <c r="A86" s="2" t="s">
        <v>48</v>
      </c>
      <c r="B86" s="11" t="n">
        <v>100</v>
      </c>
    </row>
    <row r="87" customFormat="false" ht="15" hidden="false" customHeight="false" outlineLevel="0" collapsed="false">
      <c r="A87" s="2" t="s">
        <v>85</v>
      </c>
      <c r="B87" s="13" t="n">
        <v>0.06</v>
      </c>
    </row>
    <row r="88" customFormat="false" ht="15" hidden="false" customHeight="false" outlineLevel="0" collapsed="false">
      <c r="A88" s="2" t="s">
        <v>54</v>
      </c>
      <c r="B88" s="12" t="n">
        <v>3</v>
      </c>
    </row>
    <row r="89" customFormat="false" ht="15" hidden="false" customHeight="false" outlineLevel="0" collapsed="false">
      <c r="A89" s="2" t="s">
        <v>55</v>
      </c>
      <c r="B89" s="13" t="n">
        <v>0.06</v>
      </c>
    </row>
    <row r="90" customFormat="false" ht="15" hidden="false" customHeight="false" outlineLevel="0" collapsed="false">
      <c r="A90" s="3" t="s">
        <v>51</v>
      </c>
      <c r="B90" s="14"/>
      <c r="D90" s="3" t="str">
        <f aca="false">IF(B90="","",IF(ABS(B90-Soluciones!$C$15)&lt;=MAX(0.003*ABS(Soluciones!$C$15),0.0001),"✔ Correcto","✘ Revisá"))</f>
        <v/>
      </c>
    </row>
    <row r="92" customFormat="false" ht="15" hidden="false" customHeight="false" outlineLevel="0" collapsed="false">
      <c r="A92" s="5" t="s">
        <v>86</v>
      </c>
      <c r="B92" s="5" t="s">
        <v>14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customFormat="false" ht="18.75" hidden="false" customHeight="true" outlineLevel="0" collapsed="false">
      <c r="A93" s="7" t="s">
        <v>87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customFormat="false" ht="15" hidden="false" customHeight="false" outlineLevel="0" collapsed="false">
      <c r="A94" s="2" t="s">
        <v>48</v>
      </c>
      <c r="B94" s="11" t="n">
        <v>100</v>
      </c>
    </row>
    <row r="95" customFormat="false" ht="15" hidden="false" customHeight="false" outlineLevel="0" collapsed="false">
      <c r="A95" s="2" t="s">
        <v>85</v>
      </c>
      <c r="B95" s="13" t="n">
        <v>0.12</v>
      </c>
    </row>
    <row r="96" customFormat="false" ht="15" hidden="false" customHeight="false" outlineLevel="0" collapsed="false">
      <c r="A96" s="2" t="s">
        <v>54</v>
      </c>
      <c r="B96" s="12" t="n">
        <v>7</v>
      </c>
    </row>
    <row r="97" customFormat="false" ht="15" hidden="false" customHeight="false" outlineLevel="0" collapsed="false">
      <c r="A97" s="2" t="s">
        <v>55</v>
      </c>
      <c r="B97" s="13" t="n">
        <v>0.09</v>
      </c>
    </row>
    <row r="98" customFormat="false" ht="15" hidden="false" customHeight="false" outlineLevel="0" collapsed="false">
      <c r="A98" s="3" t="s">
        <v>51</v>
      </c>
      <c r="B98" s="14"/>
      <c r="D98" s="3" t="str">
        <f aca="false">IF(B98="","",IF(ABS(B98-Soluciones!$C$16)&lt;=MAX(0.003*ABS(Soluciones!$C$16),0.0001),"✔ Correcto","✘ Revisá"))</f>
        <v/>
      </c>
    </row>
    <row r="100" customFormat="false" ht="15" hidden="false" customHeight="false" outlineLevel="0" collapsed="false">
      <c r="A100" s="5" t="s">
        <v>88</v>
      </c>
      <c r="B100" s="5" t="s">
        <v>15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customFormat="false" ht="18.75" hidden="false" customHeight="true" outlineLevel="0" collapsed="false">
      <c r="A101" s="7" t="s">
        <v>89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customFormat="false" ht="15" hidden="false" customHeight="false" outlineLevel="0" collapsed="false">
      <c r="A102" s="2" t="s">
        <v>48</v>
      </c>
      <c r="B102" s="11" t="n">
        <v>100</v>
      </c>
    </row>
    <row r="103" customFormat="false" ht="15" hidden="false" customHeight="false" outlineLevel="0" collapsed="false">
      <c r="A103" s="2" t="s">
        <v>90</v>
      </c>
      <c r="B103" s="11" t="n">
        <v>3.5</v>
      </c>
    </row>
    <row r="104" customFormat="false" ht="15" hidden="false" customHeight="false" outlineLevel="0" collapsed="false">
      <c r="A104" s="2" t="s">
        <v>66</v>
      </c>
      <c r="B104" s="12" t="n">
        <v>10</v>
      </c>
    </row>
    <row r="105" customFormat="false" ht="15" hidden="false" customHeight="false" outlineLevel="0" collapsed="false">
      <c r="A105" s="2" t="s">
        <v>91</v>
      </c>
      <c r="B105" s="13" t="n">
        <v>0.04</v>
      </c>
    </row>
    <row r="106" customFormat="false" ht="15" hidden="false" customHeight="false" outlineLevel="0" collapsed="false">
      <c r="A106" s="3" t="s">
        <v>51</v>
      </c>
      <c r="B106" s="14"/>
      <c r="D106" s="3" t="str">
        <f aca="false">IF(B106="","",IF(ABS(B106-Soluciones!$C$17)&lt;=MAX(0.003*ABS(Soluciones!$C$17),0.0001),"✔ Correcto","✘ Revisá"))</f>
        <v/>
      </c>
    </row>
    <row r="108" customFormat="false" ht="15" hidden="false" customHeight="false" outlineLevel="0" collapsed="false">
      <c r="A108" s="5" t="s">
        <v>92</v>
      </c>
      <c r="B108" s="5" t="s">
        <v>15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customFormat="false" ht="18.75" hidden="false" customHeight="true" outlineLevel="0" collapsed="false">
      <c r="A109" s="7" t="s">
        <v>93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customFormat="false" ht="15" hidden="false" customHeight="false" outlineLevel="0" collapsed="false">
      <c r="A110" s="2" t="s">
        <v>48</v>
      </c>
      <c r="B110" s="11" t="n">
        <v>1000</v>
      </c>
    </row>
    <row r="111" customFormat="false" ht="15" hidden="false" customHeight="false" outlineLevel="0" collapsed="false">
      <c r="A111" s="2" t="s">
        <v>94</v>
      </c>
      <c r="B111" s="13" t="n">
        <v>0.09</v>
      </c>
    </row>
    <row r="112" customFormat="false" ht="15" hidden="false" customHeight="false" outlineLevel="0" collapsed="false">
      <c r="A112" s="2" t="s">
        <v>66</v>
      </c>
      <c r="B112" s="12" t="n">
        <v>6</v>
      </c>
    </row>
    <row r="113" customFormat="false" ht="15" hidden="false" customHeight="false" outlineLevel="0" collapsed="false">
      <c r="A113" s="2" t="s">
        <v>50</v>
      </c>
      <c r="B113" s="13" t="n">
        <v>0.1</v>
      </c>
    </row>
    <row r="114" customFormat="false" ht="15" hidden="false" customHeight="false" outlineLevel="0" collapsed="false">
      <c r="A114" s="3" t="s">
        <v>51</v>
      </c>
      <c r="B114" s="14"/>
      <c r="D114" s="3" t="str">
        <f aca="false">IF(B114="","",IF(ABS(B114-Soluciones!$C$18)&lt;=MAX(0.003*ABS(Soluciones!$C$18),0.0001),"✔ Correcto","✘ Revisá"))</f>
        <v/>
      </c>
    </row>
    <row r="116" customFormat="false" ht="15" hidden="false" customHeight="false" outlineLevel="0" collapsed="false">
      <c r="A116" s="5" t="s">
        <v>95</v>
      </c>
      <c r="B116" s="5" t="s">
        <v>16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customFormat="false" ht="18.75" hidden="false" customHeight="true" outlineLevel="0" collapsed="false">
      <c r="A117" s="7" t="s">
        <v>96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customFormat="false" ht="15" hidden="false" customHeight="false" outlineLevel="0" collapsed="false">
      <c r="A118" s="2" t="s">
        <v>70</v>
      </c>
      <c r="B118" s="11" t="n">
        <v>95</v>
      </c>
    </row>
    <row r="119" customFormat="false" ht="15" hidden="false" customHeight="false" outlineLevel="0" collapsed="false">
      <c r="A119" s="2" t="s">
        <v>48</v>
      </c>
      <c r="B119" s="11" t="n">
        <v>100</v>
      </c>
    </row>
    <row r="120" customFormat="false" ht="15" hidden="false" customHeight="false" outlineLevel="0" collapsed="false">
      <c r="A120" s="2" t="s">
        <v>82</v>
      </c>
      <c r="B120" s="11" t="n">
        <v>7</v>
      </c>
    </row>
    <row r="121" customFormat="false" ht="15" hidden="false" customHeight="false" outlineLevel="0" collapsed="false">
      <c r="A121" s="2" t="s">
        <v>54</v>
      </c>
      <c r="B121" s="12" t="n">
        <v>4</v>
      </c>
    </row>
    <row r="122" customFormat="false" ht="15" hidden="false" customHeight="false" outlineLevel="0" collapsed="false">
      <c r="A122" s="3" t="s">
        <v>51</v>
      </c>
      <c r="B122" s="15"/>
      <c r="D122" s="3" t="str">
        <f aca="false">IF(B122="","",IF(ABS(B122-Soluciones!$C$19)&lt;=MAX(0.003*ABS(Soluciones!$C$19),0.0001),"✔ Correcto","✘ Revisá"))</f>
        <v/>
      </c>
    </row>
    <row r="124" customFormat="false" ht="15" hidden="false" customHeight="false" outlineLevel="0" collapsed="false">
      <c r="A124" s="5" t="s">
        <v>97</v>
      </c>
      <c r="B124" s="5" t="s">
        <v>16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customFormat="false" ht="18.75" hidden="false" customHeight="true" outlineLevel="0" collapsed="false">
      <c r="A125" s="7" t="s">
        <v>98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customFormat="false" ht="15" hidden="false" customHeight="false" outlineLevel="0" collapsed="false">
      <c r="A126" s="2" t="s">
        <v>70</v>
      </c>
      <c r="B126" s="11" t="n">
        <v>105</v>
      </c>
    </row>
    <row r="127" customFormat="false" ht="15" hidden="false" customHeight="false" outlineLevel="0" collapsed="false">
      <c r="A127" s="2" t="s">
        <v>48</v>
      </c>
      <c r="B127" s="11" t="n">
        <v>100</v>
      </c>
    </row>
    <row r="128" customFormat="false" ht="15" hidden="false" customHeight="false" outlineLevel="0" collapsed="false">
      <c r="A128" s="2" t="s">
        <v>82</v>
      </c>
      <c r="B128" s="11" t="n">
        <v>10</v>
      </c>
    </row>
    <row r="129" customFormat="false" ht="15" hidden="false" customHeight="false" outlineLevel="0" collapsed="false">
      <c r="A129" s="2" t="s">
        <v>54</v>
      </c>
      <c r="B129" s="12" t="n">
        <v>5</v>
      </c>
    </row>
    <row r="130" customFormat="false" ht="15" hidden="false" customHeight="false" outlineLevel="0" collapsed="false">
      <c r="A130" s="3" t="s">
        <v>51</v>
      </c>
      <c r="B130" s="15"/>
      <c r="D130" s="3" t="str">
        <f aca="false">IF(B130="","",IF(ABS(B130-Soluciones!$C$20)&lt;=MAX(0.003*ABS(Soluciones!$C$20),0.0001),"✔ Correcto","✘ Revisá"))</f>
        <v/>
      </c>
    </row>
    <row r="132" customFormat="false" ht="15" hidden="false" customHeight="false" outlineLevel="0" collapsed="false">
      <c r="A132" s="5" t="s">
        <v>99</v>
      </c>
      <c r="B132" s="5" t="s">
        <v>16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customFormat="false" ht="18.75" hidden="false" customHeight="true" outlineLevel="0" collapsed="false">
      <c r="A133" s="7" t="s">
        <v>100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customFormat="false" ht="15" hidden="false" customHeight="false" outlineLevel="0" collapsed="false">
      <c r="A134" s="2" t="s">
        <v>70</v>
      </c>
      <c r="B134" s="11" t="n">
        <v>1000</v>
      </c>
    </row>
    <row r="135" customFormat="false" ht="15" hidden="false" customHeight="false" outlineLevel="0" collapsed="false">
      <c r="A135" s="2" t="s">
        <v>48</v>
      </c>
      <c r="B135" s="11" t="n">
        <v>1000</v>
      </c>
    </row>
    <row r="136" customFormat="false" ht="15" hidden="false" customHeight="false" outlineLevel="0" collapsed="false">
      <c r="A136" s="2" t="s">
        <v>82</v>
      </c>
      <c r="B136" s="11" t="n">
        <v>80</v>
      </c>
    </row>
    <row r="137" customFormat="false" ht="15" hidden="false" customHeight="false" outlineLevel="0" collapsed="false">
      <c r="A137" s="2" t="s">
        <v>54</v>
      </c>
      <c r="B137" s="12" t="n">
        <v>6</v>
      </c>
    </row>
    <row r="138" customFormat="false" ht="15" hidden="false" customHeight="false" outlineLevel="0" collapsed="false">
      <c r="A138" s="3" t="s">
        <v>51</v>
      </c>
      <c r="B138" s="15"/>
      <c r="D138" s="3" t="str">
        <f aca="false">IF(B138="","",IF(ABS(B138-Soluciones!$C$21)&lt;=MAX(0.003*ABS(Soluciones!$C$21),0.0001),"✔ Correcto","✘ Revisá"))</f>
        <v/>
      </c>
    </row>
    <row r="140" customFormat="false" ht="15" hidden="false" customHeight="false" outlineLevel="0" collapsed="false">
      <c r="A140" s="5" t="s">
        <v>101</v>
      </c>
      <c r="B140" s="5" t="s">
        <v>17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 customFormat="false" ht="18.75" hidden="false" customHeight="true" outlineLevel="0" collapsed="false">
      <c r="A141" s="7" t="s">
        <v>102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customFormat="false" ht="15" hidden="false" customHeight="false" outlineLevel="0" collapsed="false">
      <c r="A142" s="3" t="s">
        <v>103</v>
      </c>
      <c r="B142" s="12" t="n">
        <v>0</v>
      </c>
      <c r="C142" s="12" t="n">
        <v>1</v>
      </c>
      <c r="D142" s="12" t="n">
        <v>2</v>
      </c>
      <c r="E142" s="12" t="n">
        <v>3</v>
      </c>
      <c r="F142" s="12" t="n">
        <v>4</v>
      </c>
    </row>
    <row r="143" customFormat="false" ht="15" hidden="false" customHeight="false" outlineLevel="0" collapsed="false">
      <c r="A143" s="3" t="s">
        <v>104</v>
      </c>
      <c r="B143" s="11" t="n">
        <v>-950</v>
      </c>
      <c r="C143" s="11" t="n">
        <v>60</v>
      </c>
      <c r="D143" s="11" t="n">
        <v>70</v>
      </c>
      <c r="E143" s="11" t="n">
        <v>80</v>
      </c>
      <c r="F143" s="11" t="n">
        <v>1100</v>
      </c>
    </row>
    <row r="144" customFormat="false" ht="15" hidden="false" customHeight="false" outlineLevel="0" collapsed="false">
      <c r="A144" s="3" t="s">
        <v>51</v>
      </c>
      <c r="B144" s="15"/>
      <c r="D144" s="3" t="str">
        <f aca="false">IF(B144="","",IF(ABS(B144-Soluciones!$C$22)&lt;=MAX(0.003*ABS(Soluciones!$C$22),0.0001),"✔ Correcto","✘ Revisá"))</f>
        <v/>
      </c>
    </row>
    <row r="146" customFormat="false" ht="15" hidden="false" customHeight="false" outlineLevel="0" collapsed="false">
      <c r="A146" s="5" t="s">
        <v>105</v>
      </c>
      <c r="B146" s="5" t="s">
        <v>16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customFormat="false" ht="18.75" hidden="false" customHeight="true" outlineLevel="0" collapsed="false">
      <c r="A147" s="7" t="s">
        <v>106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customFormat="false" ht="15" hidden="false" customHeight="false" outlineLevel="0" collapsed="false">
      <c r="A148" s="2" t="s">
        <v>70</v>
      </c>
      <c r="B148" s="11" t="n">
        <v>88</v>
      </c>
    </row>
    <row r="149" customFormat="false" ht="15" hidden="false" customHeight="false" outlineLevel="0" collapsed="false">
      <c r="A149" s="2" t="s">
        <v>48</v>
      </c>
      <c r="B149" s="11" t="n">
        <v>100</v>
      </c>
    </row>
    <row r="150" customFormat="false" ht="15" hidden="false" customHeight="false" outlineLevel="0" collapsed="false">
      <c r="A150" s="2" t="s">
        <v>82</v>
      </c>
      <c r="B150" s="11" t="n">
        <v>5</v>
      </c>
    </row>
    <row r="151" customFormat="false" ht="15" hidden="false" customHeight="false" outlineLevel="0" collapsed="false">
      <c r="A151" s="2" t="s">
        <v>54</v>
      </c>
      <c r="B151" s="12" t="n">
        <v>6</v>
      </c>
    </row>
    <row r="152" customFormat="false" ht="15" hidden="false" customHeight="false" outlineLevel="0" collapsed="false">
      <c r="A152" s="3" t="s">
        <v>51</v>
      </c>
      <c r="B152" s="15"/>
      <c r="D152" s="3" t="str">
        <f aca="false">IF(B152="","",IF(ABS(B152-Soluciones!$C$23)&lt;=MAX(0.003*ABS(Soluciones!$C$23),0.0001),"✔ Correcto","✘ Revisá"))</f>
        <v/>
      </c>
    </row>
    <row r="154" customFormat="false" ht="15" hidden="false" customHeight="false" outlineLevel="0" collapsed="false">
      <c r="A154" s="5" t="s">
        <v>107</v>
      </c>
      <c r="B154" s="5" t="s">
        <v>18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customFormat="false" ht="18.75" hidden="false" customHeight="true" outlineLevel="0" collapsed="false">
      <c r="A155" s="7" t="s">
        <v>108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customFormat="false" ht="15" hidden="false" customHeight="false" outlineLevel="0" collapsed="false">
      <c r="A156" s="2" t="s">
        <v>109</v>
      </c>
      <c r="B156" s="11" t="n">
        <v>97</v>
      </c>
    </row>
    <row r="157" customFormat="false" ht="15" hidden="false" customHeight="false" outlineLevel="0" collapsed="false">
      <c r="A157" s="2" t="s">
        <v>110</v>
      </c>
      <c r="B157" s="11" t="n">
        <v>6</v>
      </c>
    </row>
    <row r="158" customFormat="false" ht="15" hidden="false" customHeight="false" outlineLevel="0" collapsed="false">
      <c r="A158" s="2" t="s">
        <v>111</v>
      </c>
      <c r="B158" s="11" t="n">
        <v>99</v>
      </c>
    </row>
    <row r="159" customFormat="false" ht="15" hidden="false" customHeight="false" outlineLevel="0" collapsed="false">
      <c r="A159" s="3" t="s">
        <v>51</v>
      </c>
      <c r="B159" s="15"/>
      <c r="D159" s="3" t="str">
        <f aca="false">IF(B159="","",IF(ABS(B159-Soluciones!$C$24)&lt;=MAX(0.003*ABS(Soluciones!$C$24),0.0001),"✔ Correcto","✘ Revisá"))</f>
        <v/>
      </c>
    </row>
    <row r="161" customFormat="false" ht="15" hidden="false" customHeight="false" outlineLevel="0" collapsed="false">
      <c r="A161" s="5" t="s">
        <v>112</v>
      </c>
      <c r="B161" s="5" t="s">
        <v>19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customFormat="false" ht="18.75" hidden="false" customHeight="true" outlineLevel="0" collapsed="false">
      <c r="A162" s="7" t="s">
        <v>113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customFormat="false" ht="15" hidden="false" customHeight="false" outlineLevel="0" collapsed="false">
      <c r="A163" s="2" t="s">
        <v>70</v>
      </c>
      <c r="B163" s="11" t="n">
        <v>96</v>
      </c>
    </row>
    <row r="164" customFormat="false" ht="15" hidden="false" customHeight="false" outlineLevel="0" collapsed="false">
      <c r="A164" s="2" t="s">
        <v>48</v>
      </c>
      <c r="B164" s="11" t="n">
        <v>100</v>
      </c>
    </row>
    <row r="165" customFormat="false" ht="15" hidden="false" customHeight="false" outlineLevel="0" collapsed="false">
      <c r="A165" s="2" t="s">
        <v>90</v>
      </c>
      <c r="B165" s="11" t="n">
        <v>4</v>
      </c>
    </row>
    <row r="166" customFormat="false" ht="15" hidden="false" customHeight="false" outlineLevel="0" collapsed="false">
      <c r="A166" s="2" t="s">
        <v>66</v>
      </c>
      <c r="B166" s="12" t="n">
        <v>6</v>
      </c>
    </row>
    <row r="167" customFormat="false" ht="15" hidden="false" customHeight="false" outlineLevel="0" collapsed="false">
      <c r="A167" s="3" t="s">
        <v>51</v>
      </c>
      <c r="B167" s="15"/>
      <c r="D167" s="3" t="str">
        <f aca="false">IF(B167="","",IF(ABS(B167-Soluciones!$C$25)&lt;=MAX(0.003*ABS(Soluciones!$C$25),0.0001),"✔ Correcto","✘ Revisá"))</f>
        <v/>
      </c>
    </row>
    <row r="169" customFormat="false" ht="15" hidden="false" customHeight="false" outlineLevel="0" collapsed="false">
      <c r="A169" s="5" t="s">
        <v>114</v>
      </c>
      <c r="B169" s="5" t="s">
        <v>20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customFormat="false" ht="18.75" hidden="false" customHeight="true" outlineLevel="0" collapsed="false">
      <c r="A170" s="7" t="s">
        <v>115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customFormat="false" ht="15" hidden="false" customHeight="false" outlineLevel="0" collapsed="false">
      <c r="A171" s="2" t="s">
        <v>70</v>
      </c>
      <c r="B171" s="11" t="n">
        <v>96</v>
      </c>
    </row>
    <row r="172" customFormat="false" ht="15" hidden="false" customHeight="false" outlineLevel="0" collapsed="false">
      <c r="A172" s="2" t="s">
        <v>48</v>
      </c>
      <c r="B172" s="11" t="n">
        <v>100</v>
      </c>
    </row>
    <row r="173" customFormat="false" ht="15" hidden="false" customHeight="false" outlineLevel="0" collapsed="false">
      <c r="A173" s="2" t="s">
        <v>90</v>
      </c>
      <c r="B173" s="11" t="n">
        <v>4</v>
      </c>
    </row>
    <row r="174" customFormat="false" ht="15" hidden="false" customHeight="false" outlineLevel="0" collapsed="false">
      <c r="A174" s="2" t="s">
        <v>66</v>
      </c>
      <c r="B174" s="12" t="n">
        <v>6</v>
      </c>
    </row>
    <row r="175" customFormat="false" ht="15" hidden="false" customHeight="false" outlineLevel="0" collapsed="false">
      <c r="A175" s="3" t="s">
        <v>51</v>
      </c>
      <c r="B175" s="15"/>
      <c r="D175" s="3" t="str">
        <f aca="false">IF(B175="","",IF(ABS(B175-Soluciones!$C$26)&lt;=MAX(0.003*ABS(Soluciones!$C$26),0.0001),"✔ Correcto","✘ Revisá"))</f>
        <v/>
      </c>
    </row>
    <row r="177" customFormat="false" ht="15" hidden="false" customHeight="false" outlineLevel="0" collapsed="false">
      <c r="A177" s="5" t="s">
        <v>116</v>
      </c>
      <c r="B177" s="5" t="s">
        <v>21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customFormat="false" ht="18.75" hidden="false" customHeight="true" outlineLevel="0" collapsed="false">
      <c r="A178" s="7" t="s">
        <v>117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customFormat="false" ht="15" hidden="false" customHeight="false" outlineLevel="0" collapsed="false">
      <c r="A179" s="2" t="s">
        <v>70</v>
      </c>
      <c r="B179" s="11" t="n">
        <v>96</v>
      </c>
    </row>
    <row r="180" customFormat="false" ht="15" hidden="false" customHeight="false" outlineLevel="0" collapsed="false">
      <c r="A180" s="2" t="s">
        <v>48</v>
      </c>
      <c r="B180" s="11" t="n">
        <v>100</v>
      </c>
    </row>
    <row r="181" customFormat="false" ht="15" hidden="false" customHeight="false" outlineLevel="0" collapsed="false">
      <c r="A181" s="2" t="s">
        <v>90</v>
      </c>
      <c r="B181" s="11" t="n">
        <v>4</v>
      </c>
    </row>
    <row r="182" customFormat="false" ht="15" hidden="false" customHeight="false" outlineLevel="0" collapsed="false">
      <c r="A182" s="2" t="s">
        <v>66</v>
      </c>
      <c r="B182" s="12" t="n">
        <v>6</v>
      </c>
    </row>
    <row r="183" customFormat="false" ht="15" hidden="false" customHeight="false" outlineLevel="0" collapsed="false">
      <c r="A183" s="3" t="s">
        <v>51</v>
      </c>
      <c r="B183" s="15"/>
      <c r="D183" s="3" t="str">
        <f aca="false">IF(B183="","",IF(ABS(B183-Soluciones!$C$27)&lt;=MAX(0.003*ABS(Soluciones!$C$27),0.0001),"✔ Correcto","✘ Revisá"))</f>
        <v/>
      </c>
    </row>
    <row r="185" customFormat="false" ht="15" hidden="false" customHeight="false" outlineLevel="0" collapsed="false">
      <c r="A185" s="5" t="s">
        <v>118</v>
      </c>
      <c r="B185" s="5" t="s">
        <v>22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customFormat="false" ht="18.75" hidden="false" customHeight="true" outlineLevel="0" collapsed="false">
      <c r="A186" s="7" t="s">
        <v>119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customFormat="false" ht="15" hidden="false" customHeight="false" outlineLevel="0" collapsed="false">
      <c r="A187" s="2" t="s">
        <v>70</v>
      </c>
      <c r="B187" s="11" t="n">
        <v>98</v>
      </c>
    </row>
    <row r="188" customFormat="false" ht="15" hidden="false" customHeight="false" outlineLevel="0" collapsed="false">
      <c r="A188" s="2" t="s">
        <v>48</v>
      </c>
      <c r="B188" s="11" t="n">
        <v>100</v>
      </c>
    </row>
    <row r="189" customFormat="false" ht="15" hidden="false" customHeight="false" outlineLevel="0" collapsed="false">
      <c r="A189" s="2" t="s">
        <v>120</v>
      </c>
      <c r="B189" s="11" t="n">
        <v>3</v>
      </c>
    </row>
    <row r="190" customFormat="false" ht="15" hidden="false" customHeight="false" outlineLevel="0" collapsed="false">
      <c r="A190" s="2" t="s">
        <v>121</v>
      </c>
      <c r="B190" s="12" t="n">
        <v>8</v>
      </c>
    </row>
    <row r="191" customFormat="false" ht="15" hidden="false" customHeight="false" outlineLevel="0" collapsed="false">
      <c r="A191" s="3" t="s">
        <v>51</v>
      </c>
      <c r="B191" s="15"/>
      <c r="D191" s="3" t="str">
        <f aca="false">IF(B191="","",IF(ABS(B191-Soluciones!$C$28)&lt;=MAX(0.003*ABS(Soluciones!$C$28),0.0001),"✔ Correcto","✘ Revisá"))</f>
        <v/>
      </c>
    </row>
    <row r="193" customFormat="false" ht="15" hidden="false" customHeight="false" outlineLevel="0" collapsed="false">
      <c r="A193" s="5" t="s">
        <v>122</v>
      </c>
      <c r="B193" s="5" t="s">
        <v>23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customFormat="false" ht="18.75" hidden="false" customHeight="true" outlineLevel="0" collapsed="false">
      <c r="A194" s="7" t="s">
        <v>123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customFormat="false" ht="15" hidden="false" customHeight="false" outlineLevel="0" collapsed="false">
      <c r="A195" s="2" t="s">
        <v>55</v>
      </c>
      <c r="B195" s="13" t="n">
        <v>0.12</v>
      </c>
    </row>
    <row r="196" customFormat="false" ht="15" hidden="false" customHeight="false" outlineLevel="0" collapsed="false">
      <c r="A196" s="3" t="s">
        <v>103</v>
      </c>
      <c r="B196" s="12" t="n">
        <v>1</v>
      </c>
      <c r="C196" s="12" t="n">
        <v>2</v>
      </c>
      <c r="D196" s="12" t="n">
        <v>3</v>
      </c>
      <c r="E196" s="12" t="n">
        <v>4</v>
      </c>
    </row>
    <row r="197" customFormat="false" ht="15" hidden="false" customHeight="false" outlineLevel="0" collapsed="false">
      <c r="A197" s="3" t="s">
        <v>104</v>
      </c>
      <c r="B197" s="11" t="n">
        <v>35</v>
      </c>
      <c r="C197" s="11" t="n">
        <v>32.5</v>
      </c>
      <c r="D197" s="11" t="n">
        <v>30</v>
      </c>
      <c r="E197" s="11" t="n">
        <v>27.5</v>
      </c>
    </row>
    <row r="198" customFormat="false" ht="15" hidden="false" customHeight="false" outlineLevel="0" collapsed="false">
      <c r="A198" s="3" t="s">
        <v>51</v>
      </c>
      <c r="B198" s="14"/>
      <c r="D198" s="3" t="str">
        <f aca="false">IF(B198="","",IF(ABS(B198-Soluciones!$C$29)&lt;=MAX(0.003*ABS(Soluciones!$C$29),0.0001),"✔ Correcto","✘ Revisá"))</f>
        <v/>
      </c>
    </row>
    <row r="200" customFormat="false" ht="15" hidden="false" customHeight="false" outlineLevel="0" collapsed="false">
      <c r="A200" s="5" t="s">
        <v>124</v>
      </c>
      <c r="B200" s="5" t="s">
        <v>24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customFormat="false" ht="18.75" hidden="false" customHeight="true" outlineLevel="0" collapsed="false">
      <c r="A201" s="7" t="s">
        <v>125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customFormat="false" ht="15" hidden="false" customHeight="false" outlineLevel="0" collapsed="false">
      <c r="A202" s="3" t="s">
        <v>103</v>
      </c>
      <c r="B202" s="12" t="n">
        <v>0</v>
      </c>
      <c r="C202" s="12" t="n">
        <v>1</v>
      </c>
      <c r="D202" s="12" t="n">
        <v>2</v>
      </c>
      <c r="E202" s="12" t="n">
        <v>3</v>
      </c>
      <c r="F202" s="12" t="n">
        <v>4</v>
      </c>
    </row>
    <row r="203" customFormat="false" ht="15" hidden="false" customHeight="false" outlineLevel="0" collapsed="false">
      <c r="A203" s="3" t="s">
        <v>104</v>
      </c>
      <c r="B203" s="11" t="n">
        <v>-97</v>
      </c>
      <c r="C203" s="11" t="n">
        <v>35</v>
      </c>
      <c r="D203" s="11" t="n">
        <v>32.5</v>
      </c>
      <c r="E203" s="11" t="n">
        <v>30</v>
      </c>
      <c r="F203" s="11" t="n">
        <v>27.5</v>
      </c>
    </row>
    <row r="204" customFormat="false" ht="15" hidden="false" customHeight="false" outlineLevel="0" collapsed="false">
      <c r="A204" s="3" t="s">
        <v>51</v>
      </c>
      <c r="B204" s="15"/>
      <c r="D204" s="3" t="str">
        <f aca="false">IF(B204="","",IF(ABS(B204-Soluciones!$C$30)&lt;=MAX(0.003*ABS(Soluciones!$C$30),0.0001),"✔ Correcto","✘ Revisá"))</f>
        <v/>
      </c>
    </row>
    <row r="206" customFormat="false" ht="15" hidden="false" customHeight="false" outlineLevel="0" collapsed="false">
      <c r="A206" s="5" t="s">
        <v>126</v>
      </c>
      <c r="B206" s="5" t="s">
        <v>25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 customFormat="false" ht="18.75" hidden="false" customHeight="true" outlineLevel="0" collapsed="false">
      <c r="A207" s="7" t="s">
        <v>127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customFormat="false" ht="15" hidden="false" customHeight="false" outlineLevel="0" collapsed="false">
      <c r="A208" s="2" t="s">
        <v>91</v>
      </c>
      <c r="B208" s="13" t="n">
        <v>0.05</v>
      </c>
    </row>
    <row r="209" customFormat="false" ht="15" hidden="false" customHeight="false" outlineLevel="0" collapsed="false">
      <c r="A209" s="3" t="s">
        <v>103</v>
      </c>
      <c r="B209" s="12" t="n">
        <v>1</v>
      </c>
      <c r="C209" s="12" t="n">
        <v>2</v>
      </c>
      <c r="D209" s="12" t="n">
        <v>3</v>
      </c>
      <c r="E209" s="12" t="n">
        <v>4</v>
      </c>
      <c r="F209" s="12" t="n">
        <v>5</v>
      </c>
      <c r="G209" s="12" t="n">
        <v>6</v>
      </c>
      <c r="H209" s="12" t="n">
        <v>7</v>
      </c>
      <c r="I209" s="12" t="n">
        <v>8</v>
      </c>
      <c r="J209" s="12" t="n">
        <v>9</v>
      </c>
      <c r="K209" s="12" t="n">
        <v>10</v>
      </c>
    </row>
    <row r="210" customFormat="false" ht="15" hidden="false" customHeight="false" outlineLevel="0" collapsed="false">
      <c r="A210" s="3" t="s">
        <v>104</v>
      </c>
      <c r="B210" s="11" t="n">
        <v>14</v>
      </c>
      <c r="C210" s="11" t="n">
        <v>13.6</v>
      </c>
      <c r="D210" s="11" t="n">
        <v>13.2</v>
      </c>
      <c r="E210" s="11" t="n">
        <v>12.8</v>
      </c>
      <c r="F210" s="11" t="n">
        <v>12.4</v>
      </c>
      <c r="G210" s="11" t="n">
        <v>12</v>
      </c>
      <c r="H210" s="11" t="n">
        <v>11.6</v>
      </c>
      <c r="I210" s="11" t="n">
        <v>11.2</v>
      </c>
      <c r="J210" s="11" t="n">
        <v>10.8</v>
      </c>
      <c r="K210" s="11" t="n">
        <v>10.4</v>
      </c>
    </row>
    <row r="211" customFormat="false" ht="15" hidden="false" customHeight="false" outlineLevel="0" collapsed="false">
      <c r="A211" s="3" t="s">
        <v>51</v>
      </c>
      <c r="B211" s="14"/>
      <c r="D211" s="3" t="str">
        <f aca="false">IF(B211="","",IF(ABS(B211-Soluciones!$C$31)&lt;=MAX(0.003*ABS(Soluciones!$C$31),0.0001),"✔ Correcto","✘ Revisá"))</f>
        <v/>
      </c>
    </row>
    <row r="213" customFormat="false" ht="15" hidden="false" customHeight="false" outlineLevel="0" collapsed="false">
      <c r="A213" s="5" t="s">
        <v>128</v>
      </c>
      <c r="B213" s="5" t="s">
        <v>26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customFormat="false" ht="18.75" hidden="false" customHeight="true" outlineLevel="0" collapsed="false">
      <c r="A214" s="7" t="s">
        <v>129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 customFormat="false" ht="15" hidden="false" customHeight="false" outlineLevel="0" collapsed="false">
      <c r="A215" s="3" t="s">
        <v>103</v>
      </c>
      <c r="B215" s="12" t="n">
        <v>0</v>
      </c>
      <c r="C215" s="12" t="n">
        <v>1</v>
      </c>
      <c r="D215" s="12" t="n">
        <v>2</v>
      </c>
      <c r="E215" s="12" t="n">
        <v>3</v>
      </c>
      <c r="F215" s="12" t="n">
        <v>4</v>
      </c>
      <c r="G215" s="12" t="n">
        <v>5</v>
      </c>
      <c r="H215" s="12" t="n">
        <v>6</v>
      </c>
      <c r="I215" s="12" t="n">
        <v>7</v>
      </c>
      <c r="J215" s="12" t="n">
        <v>8</v>
      </c>
      <c r="K215" s="12" t="n">
        <v>9</v>
      </c>
      <c r="L215" s="12" t="n">
        <v>10</v>
      </c>
    </row>
    <row r="216" customFormat="false" ht="15" hidden="false" customHeight="false" outlineLevel="0" collapsed="false">
      <c r="A216" s="3" t="s">
        <v>104</v>
      </c>
      <c r="B216" s="11" t="n">
        <v>-95</v>
      </c>
      <c r="C216" s="11" t="n">
        <v>14</v>
      </c>
      <c r="D216" s="11" t="n">
        <v>13.6</v>
      </c>
      <c r="E216" s="11" t="n">
        <v>13.2</v>
      </c>
      <c r="F216" s="11" t="n">
        <v>12.8</v>
      </c>
      <c r="G216" s="11" t="n">
        <v>12.4</v>
      </c>
      <c r="H216" s="11" t="n">
        <v>12</v>
      </c>
      <c r="I216" s="11" t="n">
        <v>11.6</v>
      </c>
      <c r="J216" s="11" t="n">
        <v>11.2</v>
      </c>
      <c r="K216" s="11" t="n">
        <v>10.8</v>
      </c>
      <c r="L216" s="11" t="n">
        <v>10.4</v>
      </c>
    </row>
    <row r="217" customFormat="false" ht="15" hidden="false" customHeight="false" outlineLevel="0" collapsed="false">
      <c r="A217" s="3" t="s">
        <v>51</v>
      </c>
      <c r="B217" s="15"/>
      <c r="D217" s="3" t="str">
        <f aca="false">IF(B217="","",IF(ABS(B217-Soluciones!$C$32)&lt;=MAX(0.003*ABS(Soluciones!$C$32),0.0001),"✔ Correcto","✘ Revisá"))</f>
        <v/>
      </c>
    </row>
    <row r="219" customFormat="false" ht="15" hidden="false" customHeight="false" outlineLevel="0" collapsed="false">
      <c r="A219" s="5" t="s">
        <v>130</v>
      </c>
      <c r="B219" s="5" t="s">
        <v>27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 customFormat="false" ht="33.75" hidden="false" customHeight="true" outlineLevel="0" collapsed="false">
      <c r="A220" s="7" t="s">
        <v>131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customFormat="false" ht="15" hidden="false" customHeight="false" outlineLevel="0" collapsed="false">
      <c r="A221" s="3" t="s">
        <v>103</v>
      </c>
      <c r="B221" s="12" t="n">
        <v>0</v>
      </c>
      <c r="C221" s="12" t="n">
        <v>1</v>
      </c>
      <c r="D221" s="12" t="n">
        <v>2</v>
      </c>
      <c r="E221" s="12" t="n">
        <v>3</v>
      </c>
      <c r="F221" s="12" t="n">
        <v>4</v>
      </c>
    </row>
    <row r="222" customFormat="false" ht="15" hidden="false" customHeight="false" outlineLevel="0" collapsed="false">
      <c r="A222" s="3" t="s">
        <v>104</v>
      </c>
      <c r="B222" s="11" t="n">
        <v>-92</v>
      </c>
      <c r="C222" s="11" t="n">
        <v>9</v>
      </c>
      <c r="D222" s="11" t="n">
        <v>9</v>
      </c>
      <c r="E222" s="11" t="n">
        <v>59</v>
      </c>
      <c r="F222" s="11" t="n">
        <v>54.5</v>
      </c>
    </row>
    <row r="223" customFormat="false" ht="15" hidden="false" customHeight="false" outlineLevel="0" collapsed="false">
      <c r="A223" s="3" t="s">
        <v>51</v>
      </c>
      <c r="B223" s="15"/>
      <c r="D223" s="3" t="str">
        <f aca="false">IF(B223="","",IF(ABS(B223-Soluciones!$C$33)&lt;=MAX(0.003*ABS(Soluciones!$C$33),0.0001),"✔ Correcto","✘ Revisá"))</f>
        <v/>
      </c>
    </row>
    <row r="225" customFormat="false" ht="15" hidden="false" customHeight="false" outlineLevel="0" collapsed="false">
      <c r="A225" s="5" t="s">
        <v>132</v>
      </c>
      <c r="B225" s="5" t="s">
        <v>28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customFormat="false" ht="18.75" hidden="false" customHeight="true" outlineLevel="0" collapsed="false">
      <c r="A226" s="7" t="s">
        <v>133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 customFormat="false" ht="15" hidden="false" customHeight="false" outlineLevel="0" collapsed="false">
      <c r="A227" s="2" t="s">
        <v>134</v>
      </c>
      <c r="B227" s="11" t="n">
        <v>8</v>
      </c>
    </row>
    <row r="228" customFormat="false" ht="15" hidden="false" customHeight="false" outlineLevel="0" collapsed="false">
      <c r="A228" s="2" t="s">
        <v>70</v>
      </c>
      <c r="B228" s="11" t="n">
        <v>92</v>
      </c>
    </row>
    <row r="229" customFormat="false" ht="15" hidden="false" customHeight="false" outlineLevel="0" collapsed="false">
      <c r="A229" s="3" t="s">
        <v>51</v>
      </c>
      <c r="B229" s="15"/>
      <c r="D229" s="3" t="str">
        <f aca="false">IF(B229="","",IF(ABS(B229-Soluciones!$C$34)&lt;=MAX(0.003*ABS(Soluciones!$C$34),0.0001),"✔ Correcto","✘ Revisá"))</f>
        <v/>
      </c>
    </row>
    <row r="231" customFormat="false" ht="15" hidden="false" customHeight="false" outlineLevel="0" collapsed="false">
      <c r="A231" s="5" t="s">
        <v>135</v>
      </c>
      <c r="B231" s="5" t="s">
        <v>28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customFormat="false" ht="18.75" hidden="false" customHeight="true" outlineLevel="0" collapsed="false">
      <c r="A232" s="7" t="s">
        <v>136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customFormat="false" ht="15" hidden="false" customHeight="false" outlineLevel="0" collapsed="false">
      <c r="A233" s="2" t="s">
        <v>48</v>
      </c>
      <c r="B233" s="11" t="n">
        <v>1000</v>
      </c>
    </row>
    <row r="234" customFormat="false" ht="15" hidden="false" customHeight="false" outlineLevel="0" collapsed="false">
      <c r="A234" s="2" t="s">
        <v>82</v>
      </c>
      <c r="B234" s="11" t="n">
        <v>100</v>
      </c>
    </row>
    <row r="235" customFormat="false" ht="15" hidden="false" customHeight="false" outlineLevel="0" collapsed="false">
      <c r="A235" s="2" t="s">
        <v>54</v>
      </c>
      <c r="B235" s="12" t="n">
        <v>4</v>
      </c>
    </row>
    <row r="236" customFormat="false" ht="15" hidden="false" customHeight="false" outlineLevel="0" collapsed="false">
      <c r="A236" s="2" t="s">
        <v>55</v>
      </c>
      <c r="B236" s="13" t="n">
        <v>0.12</v>
      </c>
    </row>
    <row r="237" customFormat="false" ht="15" hidden="false" customHeight="false" outlineLevel="0" collapsed="false">
      <c r="A237" s="3" t="s">
        <v>51</v>
      </c>
      <c r="B237" s="15"/>
      <c r="D237" s="3" t="str">
        <f aca="false">IF(B237="","",IF(ABS(B237-Soluciones!$C$35)&lt;=MAX(0.003*ABS(Soluciones!$C$35),0.0001),"✔ Correcto","✘ Revisá"))</f>
        <v/>
      </c>
    </row>
    <row r="239" customFormat="false" ht="15" hidden="false" customHeight="false" outlineLevel="0" collapsed="false">
      <c r="A239" s="5" t="s">
        <v>137</v>
      </c>
      <c r="B239" s="5" t="s">
        <v>28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customFormat="false" ht="18.75" hidden="false" customHeight="true" outlineLevel="0" collapsed="false">
      <c r="A240" s="7" t="s">
        <v>138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 customFormat="false" ht="15" hidden="false" customHeight="false" outlineLevel="0" collapsed="false">
      <c r="A241" s="2" t="s">
        <v>90</v>
      </c>
      <c r="B241" s="11" t="n">
        <v>3</v>
      </c>
    </row>
    <row r="242" customFormat="false" ht="15" hidden="false" customHeight="false" outlineLevel="0" collapsed="false">
      <c r="A242" s="2" t="s">
        <v>70</v>
      </c>
      <c r="B242" s="11" t="n">
        <v>94</v>
      </c>
    </row>
    <row r="243" customFormat="false" ht="15" hidden="false" customHeight="false" outlineLevel="0" collapsed="false">
      <c r="A243" s="3" t="s">
        <v>51</v>
      </c>
      <c r="B243" s="15"/>
      <c r="D243" s="3" t="str">
        <f aca="false">IF(B243="","",IF(ABS(B243-Soluciones!$C$36)&lt;=MAX(0.003*ABS(Soluciones!$C$36),0.0001),"✔ Correcto","✘ Revisá"))</f>
        <v/>
      </c>
    </row>
    <row r="245" customFormat="false" ht="15" hidden="false" customHeight="false" outlineLevel="0" collapsed="false">
      <c r="A245" s="5" t="s">
        <v>139</v>
      </c>
      <c r="B245" s="5" t="s">
        <v>29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customFormat="false" ht="18.75" hidden="false" customHeight="true" outlineLevel="0" collapsed="false">
      <c r="A246" s="7" t="s">
        <v>140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customFormat="false" ht="15" hidden="false" customHeight="false" outlineLevel="0" collapsed="false">
      <c r="A247" s="2" t="s">
        <v>55</v>
      </c>
      <c r="B247" s="13" t="n">
        <v>0.1</v>
      </c>
    </row>
    <row r="248" customFormat="false" ht="15" hidden="false" customHeight="false" outlineLevel="0" collapsed="false">
      <c r="A248" s="3" t="s">
        <v>103</v>
      </c>
      <c r="B248" s="12" t="n">
        <v>1</v>
      </c>
      <c r="C248" s="12" t="n">
        <v>2</v>
      </c>
      <c r="D248" s="12" t="n">
        <v>3</v>
      </c>
    </row>
    <row r="249" customFormat="false" ht="15" hidden="false" customHeight="false" outlineLevel="0" collapsed="false">
      <c r="A249" s="3" t="s">
        <v>104</v>
      </c>
      <c r="B249" s="11" t="n">
        <v>10</v>
      </c>
      <c r="C249" s="11" t="n">
        <v>10</v>
      </c>
      <c r="D249" s="11" t="n">
        <v>110</v>
      </c>
    </row>
    <row r="250" customFormat="false" ht="15" hidden="false" customHeight="false" outlineLevel="0" collapsed="false">
      <c r="A250" s="3" t="s">
        <v>51</v>
      </c>
      <c r="B250" s="16"/>
      <c r="D250" s="3" t="str">
        <f aca="false">IF(B250="","",IF(ABS(B250-Soluciones!$C$37)&lt;=MAX(0.003*ABS(Soluciones!$C$37),0.0001),"✔ Correcto","✘ Revisá"))</f>
        <v/>
      </c>
    </row>
    <row r="252" customFormat="false" ht="15" hidden="false" customHeight="false" outlineLevel="0" collapsed="false">
      <c r="A252" s="5" t="s">
        <v>141</v>
      </c>
      <c r="B252" s="5" t="s">
        <v>30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 customFormat="false" ht="18.75" hidden="false" customHeight="true" outlineLevel="0" collapsed="false">
      <c r="A253" s="7" t="s">
        <v>142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customFormat="false" ht="15" hidden="false" customHeight="false" outlineLevel="0" collapsed="false">
      <c r="A254" s="2" t="s">
        <v>55</v>
      </c>
      <c r="B254" s="13" t="n">
        <v>0.1</v>
      </c>
    </row>
    <row r="255" customFormat="false" ht="15" hidden="false" customHeight="false" outlineLevel="0" collapsed="false">
      <c r="A255" s="3" t="s">
        <v>103</v>
      </c>
      <c r="B255" s="12" t="n">
        <v>1</v>
      </c>
      <c r="C255" s="12" t="n">
        <v>2</v>
      </c>
      <c r="D255" s="12" t="n">
        <v>3</v>
      </c>
    </row>
    <row r="256" customFormat="false" ht="15" hidden="false" customHeight="false" outlineLevel="0" collapsed="false">
      <c r="A256" s="3" t="s">
        <v>104</v>
      </c>
      <c r="B256" s="11" t="n">
        <v>10</v>
      </c>
      <c r="C256" s="11" t="n">
        <v>10</v>
      </c>
      <c r="D256" s="11" t="n">
        <v>110</v>
      </c>
    </row>
    <row r="257" customFormat="false" ht="15" hidden="false" customHeight="false" outlineLevel="0" collapsed="false">
      <c r="A257" s="3" t="s">
        <v>51</v>
      </c>
      <c r="B257" s="16"/>
      <c r="D257" s="3" t="str">
        <f aca="false">IF(B257="","",IF(ABS(B257-Soluciones!$C$38)&lt;=MAX(0.003*ABS(Soluciones!$C$38),0.0001),"✔ Correcto","✘ Revisá"))</f>
        <v/>
      </c>
    </row>
    <row r="259" customFormat="false" ht="15" hidden="false" customHeight="false" outlineLevel="0" collapsed="false">
      <c r="A259" s="5" t="s">
        <v>143</v>
      </c>
      <c r="B259" s="5" t="s">
        <v>30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customFormat="false" ht="18.75" hidden="false" customHeight="true" outlineLevel="0" collapsed="false">
      <c r="A260" s="7" t="s">
        <v>144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 customFormat="false" ht="15" hidden="false" customHeight="false" outlineLevel="0" collapsed="false">
      <c r="A261" s="2" t="s">
        <v>54</v>
      </c>
      <c r="B261" s="12" t="n">
        <v>5</v>
      </c>
    </row>
    <row r="262" customFormat="false" ht="15" hidden="false" customHeight="false" outlineLevel="0" collapsed="false">
      <c r="A262" s="2" t="s">
        <v>55</v>
      </c>
      <c r="B262" s="13" t="n">
        <v>0.08</v>
      </c>
    </row>
    <row r="263" customFormat="false" ht="15" hidden="false" customHeight="false" outlineLevel="0" collapsed="false">
      <c r="A263" s="3" t="s">
        <v>51</v>
      </c>
      <c r="B263" s="16"/>
      <c r="D263" s="3" t="str">
        <f aca="false">IF(B263="","",IF(ABS(B263-Soluciones!$C$39)&lt;=MAX(0.003*ABS(Soluciones!$C$39),0.0001),"✔ Correcto","✘ Revisá"))</f>
        <v/>
      </c>
    </row>
    <row r="265" customFormat="false" ht="15" hidden="false" customHeight="false" outlineLevel="0" collapsed="false">
      <c r="A265" s="5" t="s">
        <v>145</v>
      </c>
      <c r="B265" s="5" t="s">
        <v>29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customFormat="false" ht="18.75" hidden="false" customHeight="true" outlineLevel="0" collapsed="false">
      <c r="A266" s="7" t="s">
        <v>146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 customFormat="false" ht="15" hidden="false" customHeight="false" outlineLevel="0" collapsed="false">
      <c r="A267" s="2" t="s">
        <v>55</v>
      </c>
      <c r="B267" s="13" t="n">
        <v>0.1</v>
      </c>
    </row>
    <row r="268" customFormat="false" ht="15" hidden="false" customHeight="false" outlineLevel="0" collapsed="false">
      <c r="A268" s="3" t="s">
        <v>103</v>
      </c>
      <c r="B268" s="12" t="n">
        <v>1</v>
      </c>
      <c r="C268" s="12" t="n">
        <v>2</v>
      </c>
      <c r="D268" s="12" t="n">
        <v>3</v>
      </c>
      <c r="E268" s="12" t="n">
        <v>4</v>
      </c>
      <c r="F268" s="12" t="n">
        <v>5</v>
      </c>
    </row>
    <row r="269" customFormat="false" ht="15" hidden="false" customHeight="false" outlineLevel="0" collapsed="false">
      <c r="A269" s="3" t="s">
        <v>104</v>
      </c>
      <c r="B269" s="11" t="n">
        <v>8</v>
      </c>
      <c r="C269" s="11" t="n">
        <v>8</v>
      </c>
      <c r="D269" s="11" t="n">
        <v>8</v>
      </c>
      <c r="E269" s="11" t="n">
        <v>8</v>
      </c>
      <c r="F269" s="11" t="n">
        <v>108</v>
      </c>
    </row>
    <row r="270" customFormat="false" ht="15" hidden="false" customHeight="false" outlineLevel="0" collapsed="false">
      <c r="A270" s="3" t="s">
        <v>51</v>
      </c>
      <c r="B270" s="16"/>
      <c r="D270" s="3" t="str">
        <f aca="false">IF(B270="","",IF(ABS(B270-Soluciones!$C$40)&lt;=MAX(0.003*ABS(Soluciones!$C$40),0.0001),"✔ Correcto","✘ Revisá"))</f>
        <v/>
      </c>
    </row>
    <row r="272" customFormat="false" ht="15" hidden="false" customHeight="false" outlineLevel="0" collapsed="false">
      <c r="A272" s="5" t="s">
        <v>147</v>
      </c>
      <c r="B272" s="5" t="s">
        <v>31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 customFormat="false" ht="18.75" hidden="false" customHeight="true" outlineLevel="0" collapsed="false">
      <c r="A273" s="7" t="s">
        <v>148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 customFormat="false" ht="15" hidden="false" customHeight="false" outlineLevel="0" collapsed="false">
      <c r="A274" s="2" t="s">
        <v>55</v>
      </c>
      <c r="B274" s="13" t="n">
        <v>0.12</v>
      </c>
    </row>
    <row r="275" customFormat="false" ht="15" hidden="false" customHeight="false" outlineLevel="0" collapsed="false">
      <c r="A275" s="3" t="s">
        <v>103</v>
      </c>
      <c r="B275" s="12" t="n">
        <v>1</v>
      </c>
      <c r="C275" s="12" t="n">
        <v>2</v>
      </c>
      <c r="D275" s="12" t="n">
        <v>3</v>
      </c>
      <c r="E275" s="12" t="n">
        <v>4</v>
      </c>
    </row>
    <row r="276" customFormat="false" ht="15" hidden="false" customHeight="false" outlineLevel="0" collapsed="false">
      <c r="A276" s="3" t="s">
        <v>104</v>
      </c>
      <c r="B276" s="11" t="n">
        <v>35</v>
      </c>
      <c r="C276" s="11" t="n">
        <v>32.5</v>
      </c>
      <c r="D276" s="11" t="n">
        <v>30</v>
      </c>
      <c r="E276" s="11" t="n">
        <v>27.5</v>
      </c>
    </row>
    <row r="277" customFormat="false" ht="15" hidden="false" customHeight="false" outlineLevel="0" collapsed="false">
      <c r="A277" s="3" t="s">
        <v>51</v>
      </c>
      <c r="B277" s="16"/>
      <c r="D277" s="3" t="str">
        <f aca="false">IF(B277="","",IF(ABS(B277-Soluciones!$C$41)&lt;=MAX(0.003*ABS(Soluciones!$C$41),0.0001),"✔ Correcto","✘ Revisá"))</f>
        <v/>
      </c>
    </row>
    <row r="279" customFormat="false" ht="15" hidden="false" customHeight="false" outlineLevel="0" collapsed="false">
      <c r="A279" s="5" t="s">
        <v>149</v>
      </c>
      <c r="B279" s="5" t="s">
        <v>32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 customFormat="false" ht="18.75" hidden="false" customHeight="true" outlineLevel="0" collapsed="false">
      <c r="A280" s="7" t="s">
        <v>150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customFormat="false" ht="15" hidden="false" customHeight="false" outlineLevel="0" collapsed="false">
      <c r="A281" s="2" t="s">
        <v>30</v>
      </c>
      <c r="B281" s="17" t="n">
        <v>4.5</v>
      </c>
    </row>
    <row r="282" customFormat="false" ht="15" hidden="false" customHeight="false" outlineLevel="0" collapsed="false">
      <c r="A282" s="2" t="s">
        <v>151</v>
      </c>
      <c r="B282" s="13" t="n">
        <v>0.005</v>
      </c>
    </row>
    <row r="283" customFormat="false" ht="15" hidden="false" customHeight="false" outlineLevel="0" collapsed="false">
      <c r="A283" s="3" t="s">
        <v>51</v>
      </c>
      <c r="B283" s="15"/>
      <c r="D283" s="3" t="str">
        <f aca="false">IF(B283="","",IF(ABS(B283-Soluciones!$C$42)&lt;=MAX(0.003*ABS(Soluciones!$C$42),0.0001),"✔ Correcto","✘ Revisá"))</f>
        <v/>
      </c>
    </row>
    <row r="285" customFormat="false" ht="15" hidden="false" customHeight="false" outlineLevel="0" collapsed="false">
      <c r="A285" s="5" t="s">
        <v>152</v>
      </c>
      <c r="B285" s="5" t="s">
        <v>33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customFormat="false" ht="18.75" hidden="false" customHeight="true" outlineLevel="0" collapsed="false">
      <c r="A286" s="7" t="s">
        <v>153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 customFormat="false" ht="15" hidden="false" customHeight="false" outlineLevel="0" collapsed="false">
      <c r="A287" s="2" t="s">
        <v>70</v>
      </c>
      <c r="B287" s="11" t="n">
        <v>102</v>
      </c>
    </row>
    <row r="288" customFormat="false" ht="15" hidden="false" customHeight="false" outlineLevel="0" collapsed="false">
      <c r="A288" s="2" t="s">
        <v>30</v>
      </c>
      <c r="B288" s="17" t="n">
        <v>6</v>
      </c>
    </row>
    <row r="289" customFormat="false" ht="15" hidden="false" customHeight="false" outlineLevel="0" collapsed="false">
      <c r="A289" s="2" t="s">
        <v>151</v>
      </c>
      <c r="B289" s="13" t="n">
        <v>-0.0075</v>
      </c>
    </row>
    <row r="290" customFormat="false" ht="15" hidden="false" customHeight="false" outlineLevel="0" collapsed="false">
      <c r="A290" s="3" t="s">
        <v>51</v>
      </c>
      <c r="B290" s="14"/>
      <c r="D290" s="3" t="str">
        <f aca="false">IF(B290="","",IF(ABS(B290-Soluciones!$C$43)&lt;=MAX(0.003*ABS(Soluciones!$C$43),0.0001),"✔ Correcto","✘ Revisá"))</f>
        <v/>
      </c>
    </row>
    <row r="292" customFormat="false" ht="15" hidden="false" customHeight="false" outlineLevel="0" collapsed="false">
      <c r="A292" s="5" t="s">
        <v>154</v>
      </c>
      <c r="B292" s="5" t="s">
        <v>34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 customFormat="false" ht="18.75" hidden="false" customHeight="true" outlineLevel="0" collapsed="false">
      <c r="A293" s="7" t="s">
        <v>155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 customFormat="false" ht="15" hidden="false" customHeight="false" outlineLevel="0" collapsed="false">
      <c r="A294" s="2" t="s">
        <v>30</v>
      </c>
      <c r="B294" s="17" t="n">
        <v>3.8</v>
      </c>
    </row>
    <row r="295" customFormat="false" ht="15" hidden="false" customHeight="false" outlineLevel="0" collapsed="false">
      <c r="A295" s="2" t="s">
        <v>156</v>
      </c>
      <c r="B295" s="17" t="n">
        <v>18</v>
      </c>
    </row>
    <row r="296" customFormat="false" ht="15" hidden="false" customHeight="false" outlineLevel="0" collapsed="false">
      <c r="A296" s="2" t="s">
        <v>151</v>
      </c>
      <c r="B296" s="13" t="n">
        <v>0.02</v>
      </c>
    </row>
    <row r="297" customFormat="false" ht="15" hidden="false" customHeight="false" outlineLevel="0" collapsed="false">
      <c r="A297" s="3" t="s">
        <v>51</v>
      </c>
      <c r="B297" s="15"/>
      <c r="D297" s="3" t="str">
        <f aca="false">IF(B297="","",IF(ABS(B297-Soluciones!$C$44)&lt;=MAX(0.003*ABS(Soluciones!$C$44),0.0001),"✔ Correcto","✘ Revisá"))</f>
        <v/>
      </c>
    </row>
    <row r="299" customFormat="false" ht="15" hidden="false" customHeight="false" outlineLevel="0" collapsed="false">
      <c r="A299" s="5" t="s">
        <v>157</v>
      </c>
      <c r="B299" s="5" t="s">
        <v>35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 customFormat="false" ht="18.75" hidden="false" customHeight="true" outlineLevel="0" collapsed="false">
      <c r="A300" s="7" t="s">
        <v>158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 customFormat="false" ht="15" hidden="false" customHeight="false" outlineLevel="0" collapsed="false">
      <c r="A301" s="2" t="s">
        <v>159</v>
      </c>
      <c r="B301" s="11" t="n">
        <v>100</v>
      </c>
    </row>
    <row r="302" customFormat="false" ht="15" hidden="false" customHeight="false" outlineLevel="0" collapsed="false">
      <c r="A302" s="2" t="s">
        <v>160</v>
      </c>
      <c r="B302" s="13" t="n">
        <v>0.08</v>
      </c>
    </row>
    <row r="303" customFormat="false" ht="15" hidden="false" customHeight="false" outlineLevel="0" collapsed="false">
      <c r="A303" s="2" t="s">
        <v>161</v>
      </c>
      <c r="B303" s="12" t="n">
        <v>120</v>
      </c>
    </row>
    <row r="304" customFormat="false" ht="15" hidden="false" customHeight="false" outlineLevel="0" collapsed="false">
      <c r="A304" s="3" t="s">
        <v>51</v>
      </c>
      <c r="B304" s="14"/>
      <c r="D304" s="3" t="str">
        <f aca="false">IF(B304="","",IF(ABS(B304-Soluciones!$C$45)&lt;=MAX(0.003*ABS(Soluciones!$C$45),0.0001),"✔ Correcto","✘ Revisá"))</f>
        <v/>
      </c>
    </row>
    <row r="306" customFormat="false" ht="15" hidden="false" customHeight="false" outlineLevel="0" collapsed="false">
      <c r="A306" s="5" t="s">
        <v>162</v>
      </c>
      <c r="B306" s="5" t="s">
        <v>36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 customFormat="false" ht="18.75" hidden="false" customHeight="true" outlineLevel="0" collapsed="false">
      <c r="A307" s="7" t="s">
        <v>163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 customFormat="false" ht="15" hidden="false" customHeight="false" outlineLevel="0" collapsed="false">
      <c r="A308" s="2" t="s">
        <v>70</v>
      </c>
      <c r="B308" s="11" t="n">
        <v>95</v>
      </c>
    </row>
    <row r="309" customFormat="false" ht="15" hidden="false" customHeight="false" outlineLevel="0" collapsed="false">
      <c r="A309" s="2" t="s">
        <v>159</v>
      </c>
      <c r="B309" s="11" t="n">
        <v>100</v>
      </c>
    </row>
    <row r="310" customFormat="false" ht="15" hidden="false" customHeight="false" outlineLevel="0" collapsed="false">
      <c r="A310" s="2" t="s">
        <v>160</v>
      </c>
      <c r="B310" s="13" t="n">
        <v>0.08</v>
      </c>
    </row>
    <row r="311" customFormat="false" ht="15" hidden="false" customHeight="false" outlineLevel="0" collapsed="false">
      <c r="A311" s="2" t="s">
        <v>161</v>
      </c>
      <c r="B311" s="12" t="n">
        <v>120</v>
      </c>
    </row>
    <row r="312" customFormat="false" ht="15" hidden="false" customHeight="false" outlineLevel="0" collapsed="false">
      <c r="A312" s="3" t="s">
        <v>51</v>
      </c>
      <c r="B312" s="15"/>
      <c r="D312" s="3" t="str">
        <f aca="false">IF(B312="","",IF(ABS(B312-Soluciones!$C$46)&lt;=MAX(0.003*ABS(Soluciones!$C$46),0.0001),"✔ Correcto","✘ Revisá"))</f>
        <v/>
      </c>
    </row>
    <row r="314" customFormat="false" ht="15" hidden="false" customHeight="false" outlineLevel="0" collapsed="false">
      <c r="A314" s="5" t="s">
        <v>164</v>
      </c>
      <c r="B314" s="5" t="s">
        <v>37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 customFormat="false" ht="18.75" hidden="false" customHeight="true" outlineLevel="0" collapsed="false">
      <c r="A315" s="7" t="s">
        <v>165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 customFormat="false" ht="15" hidden="false" customHeight="false" outlineLevel="0" collapsed="false">
      <c r="A316" s="2" t="s">
        <v>166</v>
      </c>
      <c r="B316" s="11" t="n">
        <v>101.5</v>
      </c>
    </row>
    <row r="317" customFormat="false" ht="15" hidden="false" customHeight="false" outlineLevel="0" collapsed="false">
      <c r="A317" s="2" t="s">
        <v>167</v>
      </c>
      <c r="B317" s="11" t="n">
        <v>2.3</v>
      </c>
    </row>
    <row r="318" customFormat="false" ht="15" hidden="false" customHeight="false" outlineLevel="0" collapsed="false">
      <c r="A318" s="3" t="s">
        <v>51</v>
      </c>
      <c r="B318" s="14"/>
      <c r="D318" s="3" t="str">
        <f aca="false">IF(B318="","",IF(ABS(B318-Soluciones!$C$47)&lt;=MAX(0.003*ABS(Soluciones!$C$47),0.0001),"✔ Correcto","✘ Revisá"))</f>
        <v/>
      </c>
    </row>
    <row r="320" customFormat="false" ht="15" hidden="false" customHeight="false" outlineLevel="0" collapsed="false">
      <c r="A320" s="5" t="s">
        <v>168</v>
      </c>
      <c r="B320" s="5" t="s">
        <v>38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 customFormat="false" ht="33.75" hidden="false" customHeight="true" outlineLevel="0" collapsed="false">
      <c r="A321" s="7" t="s">
        <v>169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 customFormat="false" ht="15" hidden="false" customHeight="false" outlineLevel="0" collapsed="false">
      <c r="A322" s="2" t="s">
        <v>70</v>
      </c>
      <c r="B322" s="11" t="n">
        <v>58</v>
      </c>
    </row>
    <row r="323" customFormat="false" ht="15" hidden="false" customHeight="false" outlineLevel="0" collapsed="false">
      <c r="A323" s="2" t="s">
        <v>159</v>
      </c>
      <c r="B323" s="11" t="n">
        <v>60</v>
      </c>
    </row>
    <row r="324" customFormat="false" ht="15" hidden="false" customHeight="false" outlineLevel="0" collapsed="false">
      <c r="A324" s="2" t="s">
        <v>160</v>
      </c>
      <c r="B324" s="13" t="n">
        <v>0.1</v>
      </c>
    </row>
    <row r="325" customFormat="false" ht="15" hidden="false" customHeight="false" outlineLevel="0" collapsed="false">
      <c r="A325" s="2" t="s">
        <v>161</v>
      </c>
      <c r="B325" s="12" t="n">
        <v>90</v>
      </c>
    </row>
    <row r="326" customFormat="false" ht="15" hidden="false" customHeight="false" outlineLevel="0" collapsed="false">
      <c r="A326" s="3" t="s">
        <v>51</v>
      </c>
      <c r="B326" s="15"/>
      <c r="D326" s="3" t="str">
        <f aca="false">IF(B326="","",IF(ABS(B326-Soluciones!$C$48)&lt;=MAX(0.003*ABS(Soluciones!$C$48),0.0001),"✔ Correcto","✘ Revisá"))</f>
        <v/>
      </c>
    </row>
    <row r="328" customFormat="false" ht="15" hidden="false" customHeight="false" outlineLevel="0" collapsed="false">
      <c r="A328" s="5" t="s">
        <v>170</v>
      </c>
      <c r="B328" s="5" t="s">
        <v>39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</row>
    <row r="329" customFormat="false" ht="18.75" hidden="false" customHeight="true" outlineLevel="0" collapsed="false">
      <c r="A329" s="7" t="s">
        <v>171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 customFormat="false" ht="15" hidden="false" customHeight="false" outlineLevel="0" collapsed="false">
      <c r="A330" s="2" t="s">
        <v>172</v>
      </c>
      <c r="B330" s="11" t="n">
        <v>10000</v>
      </c>
    </row>
    <row r="331" customFormat="false" ht="15" hidden="false" customHeight="false" outlineLevel="0" collapsed="false">
      <c r="A331" s="2" t="s">
        <v>173</v>
      </c>
      <c r="B331" s="11" t="n">
        <v>98.5</v>
      </c>
    </row>
    <row r="332" customFormat="false" ht="15" hidden="false" customHeight="false" outlineLevel="0" collapsed="false">
      <c r="A332" s="2" t="s">
        <v>174</v>
      </c>
      <c r="B332" s="11" t="n">
        <v>1.2</v>
      </c>
    </row>
    <row r="333" customFormat="false" ht="15" hidden="false" customHeight="false" outlineLevel="0" collapsed="false">
      <c r="A333" s="3" t="s">
        <v>51</v>
      </c>
      <c r="B333" s="14"/>
      <c r="D333" s="3" t="str">
        <f aca="false">IF(B333="","",IF(ABS(B333-Soluciones!$C$49)&lt;=MAX(0.003*ABS(Soluciones!$C$49),0.0001),"✔ Correcto","✘ Revisá"))</f>
        <v/>
      </c>
    </row>
    <row r="335" customFormat="false" ht="15" hidden="false" customHeight="false" outlineLevel="0" collapsed="false">
      <c r="A335" s="5" t="s">
        <v>175</v>
      </c>
      <c r="B335" s="5" t="s">
        <v>40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 customFormat="false" ht="18.75" hidden="false" customHeight="true" outlineLevel="0" collapsed="false">
      <c r="A336" s="7" t="s">
        <v>176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 customFormat="false" ht="15" hidden="false" customHeight="false" outlineLevel="0" collapsed="false">
      <c r="A337" s="3" t="s">
        <v>177</v>
      </c>
      <c r="B337" s="18" t="n">
        <v>46328</v>
      </c>
      <c r="C337" s="18" t="n">
        <v>46509</v>
      </c>
      <c r="D337" s="18" t="n">
        <v>46693</v>
      </c>
      <c r="E337" s="18" t="n">
        <v>46875</v>
      </c>
    </row>
    <row r="338" customFormat="false" ht="15" hidden="false" customHeight="false" outlineLevel="0" collapsed="false">
      <c r="A338" s="3" t="s">
        <v>104</v>
      </c>
      <c r="B338" s="11" t="n">
        <v>-950</v>
      </c>
      <c r="C338" s="11" t="n">
        <v>60</v>
      </c>
      <c r="D338" s="11" t="n">
        <v>60</v>
      </c>
      <c r="E338" s="11" t="n">
        <v>1060</v>
      </c>
    </row>
    <row r="339" customFormat="false" ht="15" hidden="false" customHeight="false" outlineLevel="0" collapsed="false">
      <c r="A339" s="3" t="s">
        <v>51</v>
      </c>
      <c r="B339" s="15"/>
      <c r="D339" s="3" t="str">
        <f aca="false">IF(B339="","",IF(ABS(B339-Soluciones!$C$50)&lt;=MAX(0.003*ABS(Soluciones!$C$50),0.0001),"✔ Correcto","✘ Revisá"))</f>
        <v/>
      </c>
    </row>
    <row r="341" customFormat="false" ht="15" hidden="false" customHeight="false" outlineLevel="0" collapsed="false">
      <c r="A341" s="5" t="s">
        <v>178</v>
      </c>
      <c r="B341" s="5" t="s">
        <v>40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 customFormat="false" ht="18.75" hidden="false" customHeight="true" outlineLevel="0" collapsed="false">
      <c r="A342" s="7" t="s">
        <v>179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 customFormat="false" ht="15" hidden="false" customHeight="false" outlineLevel="0" collapsed="false">
      <c r="A343" s="3" t="s">
        <v>177</v>
      </c>
      <c r="B343" s="18" t="n">
        <v>46329</v>
      </c>
      <c r="C343" s="18" t="n">
        <v>46420</v>
      </c>
    </row>
    <row r="344" customFormat="false" ht="15" hidden="false" customHeight="false" outlineLevel="0" collapsed="false">
      <c r="A344" s="3" t="s">
        <v>104</v>
      </c>
      <c r="B344" s="11" t="n">
        <v>-97.1</v>
      </c>
      <c r="C344" s="11" t="n">
        <v>100</v>
      </c>
    </row>
    <row r="345" customFormat="false" ht="15" hidden="false" customHeight="false" outlineLevel="0" collapsed="false">
      <c r="A345" s="3" t="s">
        <v>51</v>
      </c>
      <c r="B345" s="15"/>
      <c r="D345" s="3" t="str">
        <f aca="false">IF(B345="","",IF(ABS(B345-Soluciones!$C$51)&lt;=MAX(0.003*ABS(Soluciones!$C$51),0.0001),"✔ Correcto","✘ Revisá"))</f>
        <v/>
      </c>
    </row>
    <row r="347" customFormat="false" ht="15" hidden="false" customHeight="false" outlineLevel="0" collapsed="false">
      <c r="A347" s="5" t="s">
        <v>180</v>
      </c>
      <c r="B347" s="5" t="s">
        <v>41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</row>
    <row r="348" customFormat="false" ht="18.75" hidden="false" customHeight="true" outlineLevel="0" collapsed="false">
      <c r="A348" s="7" t="s">
        <v>181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customFormat="false" ht="15" hidden="false" customHeight="false" outlineLevel="0" collapsed="false">
      <c r="A349" s="2" t="s">
        <v>182</v>
      </c>
      <c r="B349" s="11" t="n">
        <v>1050</v>
      </c>
    </row>
    <row r="350" customFormat="false" ht="15" hidden="false" customHeight="false" outlineLevel="0" collapsed="false">
      <c r="A350" s="2" t="s">
        <v>183</v>
      </c>
      <c r="B350" s="17" t="n">
        <v>8</v>
      </c>
    </row>
    <row r="351" customFormat="false" ht="15" hidden="false" customHeight="false" outlineLevel="0" collapsed="false">
      <c r="A351" s="2" t="s">
        <v>184</v>
      </c>
      <c r="B351" s="11" t="n">
        <v>1000</v>
      </c>
    </row>
    <row r="352" customFormat="false" ht="15" hidden="false" customHeight="false" outlineLevel="0" collapsed="false">
      <c r="A352" s="2" t="s">
        <v>185</v>
      </c>
      <c r="B352" s="17" t="n">
        <v>6</v>
      </c>
    </row>
    <row r="353" customFormat="false" ht="15" hidden="false" customHeight="false" outlineLevel="0" collapsed="false">
      <c r="A353" s="2" t="s">
        <v>186</v>
      </c>
      <c r="B353" s="11" t="n">
        <v>950</v>
      </c>
    </row>
    <row r="354" customFormat="false" ht="15" hidden="false" customHeight="false" outlineLevel="0" collapsed="false">
      <c r="A354" s="2" t="s">
        <v>187</v>
      </c>
      <c r="B354" s="17" t="n">
        <v>4</v>
      </c>
    </row>
    <row r="355" customFormat="false" ht="15" hidden="false" customHeight="false" outlineLevel="0" collapsed="false">
      <c r="A355" s="3" t="s">
        <v>51</v>
      </c>
      <c r="B355" s="16"/>
      <c r="D355" s="3" t="str">
        <f aca="false">IF(B355="","",IF(ABS(B355-Soluciones!$C$52)&lt;=MAX(0.003*ABS(Soluciones!$C$52),0.0001),"✔ Correcto","✘ Revisá"))</f>
        <v/>
      </c>
    </row>
    <row r="357" customFormat="false" ht="15" hidden="false" customHeight="false" outlineLevel="0" collapsed="false">
      <c r="A357" s="5" t="s">
        <v>188</v>
      </c>
      <c r="B357" s="5" t="s">
        <v>41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</row>
    <row r="358" customFormat="false" ht="18.75" hidden="false" customHeight="true" outlineLevel="0" collapsed="false">
      <c r="A358" s="7" t="s">
        <v>189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customFormat="false" ht="15" hidden="false" customHeight="false" outlineLevel="0" collapsed="false">
      <c r="A359" s="2" t="s">
        <v>190</v>
      </c>
      <c r="B359" s="11" t="n">
        <v>60000</v>
      </c>
    </row>
    <row r="360" customFormat="false" ht="15" hidden="false" customHeight="false" outlineLevel="0" collapsed="false">
      <c r="A360" s="2" t="s">
        <v>191</v>
      </c>
      <c r="B360" s="17" t="n">
        <v>2.5</v>
      </c>
    </row>
    <row r="361" customFormat="false" ht="15" hidden="false" customHeight="false" outlineLevel="0" collapsed="false">
      <c r="A361" s="2" t="s">
        <v>192</v>
      </c>
      <c r="B361" s="11" t="n">
        <v>40000</v>
      </c>
    </row>
    <row r="362" customFormat="false" ht="15" hidden="false" customHeight="false" outlineLevel="0" collapsed="false">
      <c r="A362" s="2" t="s">
        <v>193</v>
      </c>
      <c r="B362" s="17" t="n">
        <v>9</v>
      </c>
    </row>
    <row r="363" customFormat="false" ht="15" hidden="false" customHeight="false" outlineLevel="0" collapsed="false">
      <c r="A363" s="3" t="s">
        <v>51</v>
      </c>
      <c r="B363" s="16"/>
      <c r="D363" s="3" t="str">
        <f aca="false">IF(B363="","",IF(ABS(B363-Soluciones!$C$53)&lt;=MAX(0.003*ABS(Soluciones!$C$53),0.0001),"✔ Correcto","✘ Revisá"))</f>
        <v/>
      </c>
    </row>
  </sheetData>
  <mergeCells count="51">
    <mergeCell ref="A2:M2"/>
    <mergeCell ref="A6:M6"/>
    <mergeCell ref="A13:M13"/>
    <mergeCell ref="A20:M20"/>
    <mergeCell ref="A27:M27"/>
    <mergeCell ref="A34:M34"/>
    <mergeCell ref="A41:M41"/>
    <mergeCell ref="A48:M48"/>
    <mergeCell ref="A55:M55"/>
    <mergeCell ref="A62:M62"/>
    <mergeCell ref="A69:M69"/>
    <mergeCell ref="A77:M77"/>
    <mergeCell ref="A85:M85"/>
    <mergeCell ref="A93:M93"/>
    <mergeCell ref="A101:M101"/>
    <mergeCell ref="A109:M109"/>
    <mergeCell ref="A117:M117"/>
    <mergeCell ref="A125:M125"/>
    <mergeCell ref="A133:M133"/>
    <mergeCell ref="A141:M141"/>
    <mergeCell ref="A147:M147"/>
    <mergeCell ref="A155:M155"/>
    <mergeCell ref="A162:M162"/>
    <mergeCell ref="A170:M170"/>
    <mergeCell ref="A178:M178"/>
    <mergeCell ref="A186:M186"/>
    <mergeCell ref="A194:M194"/>
    <mergeCell ref="A201:M201"/>
    <mergeCell ref="A207:M207"/>
    <mergeCell ref="A214:M214"/>
    <mergeCell ref="A220:M220"/>
    <mergeCell ref="A226:M226"/>
    <mergeCell ref="A232:M232"/>
    <mergeCell ref="A240:M240"/>
    <mergeCell ref="A246:M246"/>
    <mergeCell ref="A253:M253"/>
    <mergeCell ref="A260:M260"/>
    <mergeCell ref="A266:M266"/>
    <mergeCell ref="A273:M273"/>
    <mergeCell ref="A280:M280"/>
    <mergeCell ref="A286:M286"/>
    <mergeCell ref="A293:M293"/>
    <mergeCell ref="A300:M300"/>
    <mergeCell ref="A307:M307"/>
    <mergeCell ref="A315:M315"/>
    <mergeCell ref="A321:M321"/>
    <mergeCell ref="A329:M329"/>
    <mergeCell ref="A336:M336"/>
    <mergeCell ref="A342:M342"/>
    <mergeCell ref="A348:M348"/>
    <mergeCell ref="A358:M358"/>
  </mergeCells>
  <conditionalFormatting sqref="D5:D2000">
    <cfRule type="expression" priority="2" aboveAverage="0" equalAverage="0" bottom="0" percent="0" rank="0" text="" dxfId="0">
      <formula>LEFT(D5,1)="✔"</formula>
    </cfRule>
    <cfRule type="expression" priority="3" aboveAverage="0" equalAverage="0" bottom="0" percent="0" rank="0" text="" dxfId="1">
      <formula>LEFT(D5,1)="✘"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194</v>
      </c>
    </row>
    <row r="3" customFormat="false" ht="15" hidden="false" customHeight="false" outlineLevel="0" collapsed="false">
      <c r="A3" s="19" t="s">
        <v>5</v>
      </c>
      <c r="B3" s="19" t="s">
        <v>6</v>
      </c>
      <c r="C3" s="19" t="s">
        <v>195</v>
      </c>
      <c r="D3" s="19" t="s">
        <v>196</v>
      </c>
      <c r="E3" s="19" t="s">
        <v>197</v>
      </c>
    </row>
    <row r="4" customFormat="false" ht="30" hidden="false" customHeight="true" outlineLevel="0" collapsed="false">
      <c r="A4" s="2" t="n">
        <v>1</v>
      </c>
      <c r="B4" s="2" t="s">
        <v>9</v>
      </c>
      <c r="C4" s="20" t="n">
        <f aca="false">PV(Ejercicios!$B$9,Ejercicios!$B$8,0,-Ejercicios!$B$7)</f>
        <v>62.0921323059155</v>
      </c>
      <c r="D4" s="21" t="s">
        <v>198</v>
      </c>
      <c r="E4" s="21" t="s">
        <v>199</v>
      </c>
    </row>
    <row r="5" customFormat="false" ht="30" hidden="false" customHeight="true" outlineLevel="0" collapsed="false">
      <c r="A5" s="2" t="n">
        <v>2</v>
      </c>
      <c r="B5" s="2" t="s">
        <v>9</v>
      </c>
      <c r="C5" s="20" t="n">
        <f aca="false">PV(Ejercicios!$B$16,Ejercicios!$B$15,0,-Ejercicios!$B$14)</f>
        <v>793.83224102017</v>
      </c>
      <c r="D5" s="21" t="s">
        <v>200</v>
      </c>
      <c r="E5" s="21" t="s">
        <v>201</v>
      </c>
    </row>
    <row r="6" customFormat="false" ht="30" hidden="false" customHeight="true" outlineLevel="0" collapsed="false">
      <c r="A6" s="2" t="n">
        <v>3</v>
      </c>
      <c r="B6" s="2" t="s">
        <v>9</v>
      </c>
      <c r="C6" s="20" t="n">
        <f aca="false">Ejercicios!$B$21/(1+Ejercicios!$B$23)^(Ejercicios!$B$22/365)</f>
        <v>83.2570960976208</v>
      </c>
      <c r="D6" s="21" t="s">
        <v>202</v>
      </c>
      <c r="E6" s="21" t="s">
        <v>203</v>
      </c>
    </row>
    <row r="7" customFormat="false" ht="30" hidden="false" customHeight="true" outlineLevel="0" collapsed="false">
      <c r="A7" s="2" t="n">
        <v>4</v>
      </c>
      <c r="B7" s="2" t="s">
        <v>10</v>
      </c>
      <c r="C7" s="20" t="n">
        <f aca="false">Ejercicios!$B$28/(1+Ejercicios!$B$30*Ejercicios!$B$29/365)</f>
        <v>918.470055359839</v>
      </c>
      <c r="D7" s="21" t="s">
        <v>204</v>
      </c>
      <c r="E7" s="21" t="s">
        <v>205</v>
      </c>
    </row>
    <row r="8" customFormat="false" ht="30" hidden="false" customHeight="true" outlineLevel="0" collapsed="false">
      <c r="A8" s="2" t="n">
        <v>5</v>
      </c>
      <c r="B8" s="2" t="s">
        <v>9</v>
      </c>
      <c r="C8" s="20" t="n">
        <f aca="false">PV(Ejercicios!$B$37,Ejercicios!$B$36,0,-Ejercicios!$B$35)</f>
        <v>82.2702474791882</v>
      </c>
      <c r="D8" s="21" t="s">
        <v>206</v>
      </c>
      <c r="E8" s="21" t="s">
        <v>207</v>
      </c>
    </row>
    <row r="9" customFormat="false" ht="30" hidden="false" customHeight="true" outlineLevel="0" collapsed="false">
      <c r="A9" s="2" t="n">
        <v>6</v>
      </c>
      <c r="B9" s="2" t="s">
        <v>11</v>
      </c>
      <c r="C9" s="22" t="n">
        <f aca="false">RATE(Ejercicios!$B$44,0,-Ejercicios!$B$42,Ejercicios!$B$43)</f>
        <v>0.0772173450159418</v>
      </c>
      <c r="D9" s="21" t="s">
        <v>208</v>
      </c>
      <c r="E9" s="21" t="s">
        <v>209</v>
      </c>
    </row>
    <row r="10" customFormat="false" ht="30" hidden="false" customHeight="true" outlineLevel="0" collapsed="false">
      <c r="A10" s="2" t="n">
        <v>7</v>
      </c>
      <c r="B10" s="2" t="s">
        <v>12</v>
      </c>
      <c r="C10" s="22" t="n">
        <f aca="false">(Ejercicios!$B$50/Ejercicios!$B$49)^(365/Ejercicios!$B$51)-1</f>
        <v>0.168846194586186</v>
      </c>
      <c r="D10" s="21" t="s">
        <v>210</v>
      </c>
      <c r="E10" s="21" t="s">
        <v>211</v>
      </c>
    </row>
    <row r="11" customFormat="false" ht="30" hidden="false" customHeight="true" outlineLevel="0" collapsed="false">
      <c r="A11" s="2" t="n">
        <v>8</v>
      </c>
      <c r="B11" s="2" t="s">
        <v>13</v>
      </c>
      <c r="C11" s="22" t="n">
        <f aca="false">(Ejercicios!$B$57/Ejercicios!$B$56-1)*365/Ejercicios!$B$58</f>
        <v>0.160087719298245</v>
      </c>
      <c r="D11" s="21" t="s">
        <v>212</v>
      </c>
      <c r="E11" s="21" t="s">
        <v>213</v>
      </c>
    </row>
    <row r="12" customFormat="false" ht="30" hidden="false" customHeight="true" outlineLevel="0" collapsed="false">
      <c r="A12" s="2" t="n">
        <v>9</v>
      </c>
      <c r="B12" s="2" t="s">
        <v>11</v>
      </c>
      <c r="C12" s="22" t="n">
        <f aca="false">RATE(Ejercicios!$B$65,0,-Ejercicios!$B$63,Ejercicios!$B$64)</f>
        <v>0.0959993332974856</v>
      </c>
      <c r="D12" s="21" t="s">
        <v>214</v>
      </c>
      <c r="E12" s="21" t="s">
        <v>215</v>
      </c>
    </row>
    <row r="13" customFormat="false" ht="30" hidden="false" customHeight="true" outlineLevel="0" collapsed="false">
      <c r="A13" s="2" t="n">
        <v>10</v>
      </c>
      <c r="B13" s="2" t="s">
        <v>14</v>
      </c>
      <c r="C13" s="20" t="n">
        <f aca="false">PV(Ejercicios!$B$73,Ejercicios!$B$72,-Ejercicios!$B$70*Ejercicios!$B$71,-Ejercicios!$B$70)</f>
        <v>92.4184264611831</v>
      </c>
      <c r="D13" s="21" t="s">
        <v>216</v>
      </c>
      <c r="E13" s="21" t="s">
        <v>217</v>
      </c>
    </row>
    <row r="14" customFormat="false" ht="30" hidden="false" customHeight="true" outlineLevel="0" collapsed="false">
      <c r="A14" s="2" t="n">
        <v>11</v>
      </c>
      <c r="B14" s="2" t="s">
        <v>14</v>
      </c>
      <c r="C14" s="20" t="n">
        <f aca="false">PV(Ejercicios!$B$81,Ejercicios!$B$80,-Ejercicios!$B$79,-Ejercicios!$B$78)</f>
        <v>939.253013067472</v>
      </c>
      <c r="D14" s="21" t="s">
        <v>218</v>
      </c>
      <c r="E14" s="21" t="s">
        <v>219</v>
      </c>
    </row>
    <row r="15" customFormat="false" ht="30" hidden="false" customHeight="true" outlineLevel="0" collapsed="false">
      <c r="A15" s="2" t="n">
        <v>12</v>
      </c>
      <c r="B15" s="2" t="s">
        <v>14</v>
      </c>
      <c r="C15" s="20" t="n">
        <f aca="false">PV(Ejercicios!$B$89,Ejercicios!$B$88,-Ejercicios!$B$86*Ejercicios!$B$87,-Ejercicios!$B$86)</f>
        <v>100</v>
      </c>
      <c r="D15" s="21" t="s">
        <v>220</v>
      </c>
      <c r="E15" s="21" t="s">
        <v>221</v>
      </c>
    </row>
    <row r="16" customFormat="false" ht="30" hidden="false" customHeight="true" outlineLevel="0" collapsed="false">
      <c r="A16" s="2" t="n">
        <v>13</v>
      </c>
      <c r="B16" s="2" t="s">
        <v>14</v>
      </c>
      <c r="C16" s="20" t="n">
        <f aca="false">PV(Ejercicios!$B$97,Ejercicios!$B$96,-Ejercicios!$B$94*Ejercicios!$B$95,-Ejercicios!$B$94)</f>
        <v>115.098858505223</v>
      </c>
      <c r="D16" s="21" t="s">
        <v>222</v>
      </c>
      <c r="E16" s="21" t="s">
        <v>223</v>
      </c>
    </row>
    <row r="17" customFormat="false" ht="30" hidden="false" customHeight="true" outlineLevel="0" collapsed="false">
      <c r="A17" s="2" t="n">
        <v>14</v>
      </c>
      <c r="B17" s="2" t="s">
        <v>15</v>
      </c>
      <c r="C17" s="20" t="n">
        <f aca="false">PV(Ejercicios!$B$105,Ejercicios!$B$104,-Ejercicios!$B$103,-Ejercicios!$B$102)</f>
        <v>95.9445521103225</v>
      </c>
      <c r="D17" s="21" t="s">
        <v>224</v>
      </c>
      <c r="E17" s="21" t="s">
        <v>225</v>
      </c>
    </row>
    <row r="18" customFormat="false" ht="30" hidden="false" customHeight="true" outlineLevel="0" collapsed="false">
      <c r="A18" s="2" t="n">
        <v>15</v>
      </c>
      <c r="B18" s="2" t="s">
        <v>15</v>
      </c>
      <c r="C18" s="20" t="n">
        <f aca="false">PV((1+Ejercicios!$B$113)^(1/2)-1,Ejercicios!$B$112,-Ejercicios!$B$110*Ejercicios!$B$111/2,-Ejercicios!$B$110)</f>
        <v>980.593597246389</v>
      </c>
      <c r="D18" s="21" t="s">
        <v>226</v>
      </c>
      <c r="E18" s="21" t="s">
        <v>227</v>
      </c>
    </row>
    <row r="19" customFormat="false" ht="30" hidden="false" customHeight="true" outlineLevel="0" collapsed="false">
      <c r="A19" s="2" t="n">
        <v>16</v>
      </c>
      <c r="B19" s="2" t="s">
        <v>16</v>
      </c>
      <c r="C19" s="22" t="n">
        <f aca="false">RATE(Ejercicios!$B$121,Ejercicios!$B$120,-Ejercicios!$B$118,Ejercicios!$B$119)</f>
        <v>0.0852736277085477</v>
      </c>
      <c r="D19" s="21" t="s">
        <v>228</v>
      </c>
      <c r="E19" s="21" t="s">
        <v>229</v>
      </c>
    </row>
    <row r="20" customFormat="false" ht="30" hidden="false" customHeight="true" outlineLevel="0" collapsed="false">
      <c r="A20" s="2" t="n">
        <v>17</v>
      </c>
      <c r="B20" s="2" t="s">
        <v>16</v>
      </c>
      <c r="C20" s="22" t="n">
        <f aca="false">RATE(Ejercicios!$B$129,Ejercicios!$B$128,-Ejercicios!$B$126,Ejercicios!$B$127)</f>
        <v>0.0872373882412885</v>
      </c>
      <c r="D20" s="21" t="s">
        <v>230</v>
      </c>
      <c r="E20" s="21" t="s">
        <v>231</v>
      </c>
    </row>
    <row r="21" customFormat="false" ht="30" hidden="false" customHeight="true" outlineLevel="0" collapsed="false">
      <c r="A21" s="2" t="n">
        <v>18</v>
      </c>
      <c r="B21" s="2" t="s">
        <v>16</v>
      </c>
      <c r="C21" s="22" t="n">
        <f aca="false">RATE(Ejercicios!$B$137,Ejercicios!$B$136,-Ejercicios!$B$134,Ejercicios!$B$135)</f>
        <v>0.08</v>
      </c>
      <c r="D21" s="21" t="s">
        <v>232</v>
      </c>
      <c r="E21" s="21" t="s">
        <v>233</v>
      </c>
    </row>
    <row r="22" customFormat="false" ht="30" hidden="false" customHeight="true" outlineLevel="0" collapsed="false">
      <c r="A22" s="2" t="n">
        <v>19</v>
      </c>
      <c r="B22" s="2" t="s">
        <v>17</v>
      </c>
      <c r="C22" s="22" t="n">
        <f aca="false">IRR(Ejercicios!$B$143:$F$143)</f>
        <v>0.0915755513592303</v>
      </c>
      <c r="D22" s="21" t="s">
        <v>234</v>
      </c>
      <c r="E22" s="21" t="s">
        <v>235</v>
      </c>
    </row>
    <row r="23" customFormat="false" ht="30" hidden="false" customHeight="true" outlineLevel="0" collapsed="false">
      <c r="A23" s="2" t="n">
        <v>20</v>
      </c>
      <c r="B23" s="2" t="s">
        <v>16</v>
      </c>
      <c r="C23" s="22" t="n">
        <f aca="false">RATE(Ejercicios!$B$151,Ejercicios!$B$150,-Ejercicios!$B$148,Ejercicios!$B$149)</f>
        <v>0.0756133958011944</v>
      </c>
      <c r="D23" s="21" t="s">
        <v>236</v>
      </c>
      <c r="E23" s="21" t="s">
        <v>237</v>
      </c>
    </row>
    <row r="24" customFormat="false" ht="30" hidden="false" customHeight="true" outlineLevel="0" collapsed="false">
      <c r="A24" s="2" t="n">
        <v>21</v>
      </c>
      <c r="B24" s="2" t="s">
        <v>18</v>
      </c>
      <c r="C24" s="22" t="n">
        <f aca="false">(Ejercicios!$B$157+Ejercicios!$B$158)/Ejercicios!$B$156-1</f>
        <v>0.0824742268041236</v>
      </c>
      <c r="D24" s="21" t="s">
        <v>238</v>
      </c>
      <c r="E24" s="21" t="s">
        <v>239</v>
      </c>
    </row>
    <row r="25" customFormat="false" ht="30" hidden="false" customHeight="true" outlineLevel="0" collapsed="false">
      <c r="A25" s="2" t="n">
        <v>22</v>
      </c>
      <c r="B25" s="2" t="s">
        <v>19</v>
      </c>
      <c r="C25" s="22" t="n">
        <f aca="false">RATE(Ejercicios!$B$166,Ejercicios!$B$165,-Ejercicios!$B$163,Ejercicios!$B$164)</f>
        <v>0.0478259931082851</v>
      </c>
      <c r="D25" s="21" t="s">
        <v>240</v>
      </c>
      <c r="E25" s="21" t="s">
        <v>241</v>
      </c>
    </row>
    <row r="26" customFormat="false" ht="30" hidden="false" customHeight="true" outlineLevel="0" collapsed="false">
      <c r="A26" s="2" t="n">
        <v>23</v>
      </c>
      <c r="B26" s="2" t="s">
        <v>20</v>
      </c>
      <c r="C26" s="22" t="n">
        <f aca="false">(1+RATE(Ejercicios!$B$174,Ejercicios!$B$173,-Ejercicios!$B$171,Ejercicios!$B$172))^2-1</f>
        <v>0.097939311833364</v>
      </c>
      <c r="D26" s="21" t="s">
        <v>242</v>
      </c>
      <c r="E26" s="21" t="s">
        <v>243</v>
      </c>
    </row>
    <row r="27" customFormat="false" ht="30" hidden="false" customHeight="true" outlineLevel="0" collapsed="false">
      <c r="A27" s="2" t="n">
        <v>24</v>
      </c>
      <c r="B27" s="2" t="s">
        <v>21</v>
      </c>
      <c r="C27" s="22" t="n">
        <f aca="false">2*RATE(Ejercicios!$B$182,Ejercicios!$B$181,-Ejercicios!$B$179,Ejercicios!$B$180)</f>
        <v>0.0956519862165703</v>
      </c>
      <c r="D27" s="21" t="s">
        <v>244</v>
      </c>
      <c r="E27" s="21" t="s">
        <v>245</v>
      </c>
    </row>
    <row r="28" customFormat="false" ht="30" hidden="false" customHeight="true" outlineLevel="0" collapsed="false">
      <c r="A28" s="2" t="n">
        <v>25</v>
      </c>
      <c r="B28" s="2" t="s">
        <v>22</v>
      </c>
      <c r="C28" s="22" t="n">
        <f aca="false">(1+RATE(Ejercicios!$B$190,Ejercicios!$B$189,-Ejercicios!$B$187,Ejercicios!$B$188))^4-1</f>
        <v>0.138167076959697</v>
      </c>
      <c r="D28" s="21" t="s">
        <v>246</v>
      </c>
      <c r="E28" s="21" t="s">
        <v>247</v>
      </c>
    </row>
    <row r="29" customFormat="false" ht="30" hidden="false" customHeight="true" outlineLevel="0" collapsed="false">
      <c r="A29" s="2" t="n">
        <v>26</v>
      </c>
      <c r="B29" s="2" t="s">
        <v>23</v>
      </c>
      <c r="C29" s="20" t="n">
        <f aca="false">NPV(Ejercicios!$B$195,Ejercicios!$B$197:$E$197)</f>
        <v>95.9889556109433</v>
      </c>
      <c r="D29" s="21" t="s">
        <v>248</v>
      </c>
      <c r="E29" s="21" t="s">
        <v>249</v>
      </c>
    </row>
    <row r="30" customFormat="false" ht="30" hidden="false" customHeight="true" outlineLevel="0" collapsed="false">
      <c r="A30" s="2" t="n">
        <v>27</v>
      </c>
      <c r="B30" s="2" t="s">
        <v>24</v>
      </c>
      <c r="C30" s="22" t="n">
        <f aca="false">IRR(Ejercicios!$B$203:$F$203)</f>
        <v>0.114828220298231</v>
      </c>
      <c r="D30" s="21" t="s">
        <v>250</v>
      </c>
      <c r="E30" s="21" t="s">
        <v>251</v>
      </c>
    </row>
    <row r="31" customFormat="false" ht="30" hidden="false" customHeight="true" outlineLevel="0" collapsed="false">
      <c r="A31" s="2" t="n">
        <v>28</v>
      </c>
      <c r="B31" s="2" t="s">
        <v>25</v>
      </c>
      <c r="C31" s="20" t="n">
        <f aca="false">NPV(Ejercicios!$B$208,Ejercicios!$B$210:$K$210)</f>
        <v>95.4434698583696</v>
      </c>
      <c r="D31" s="21" t="s">
        <v>252</v>
      </c>
      <c r="E31" s="21" t="s">
        <v>253</v>
      </c>
    </row>
    <row r="32" customFormat="false" ht="30" hidden="false" customHeight="true" outlineLevel="0" collapsed="false">
      <c r="A32" s="2" t="n">
        <v>29</v>
      </c>
      <c r="B32" s="2" t="s">
        <v>26</v>
      </c>
      <c r="C32" s="22" t="n">
        <f aca="false">(1+IRR(Ejercicios!$B$216:$L$216))^2-1</f>
        <v>0.104627544325759</v>
      </c>
      <c r="D32" s="21" t="s">
        <v>254</v>
      </c>
      <c r="E32" s="21" t="s">
        <v>255</v>
      </c>
    </row>
    <row r="33" customFormat="false" ht="30" hidden="false" customHeight="true" outlineLevel="0" collapsed="false">
      <c r="A33" s="2" t="n">
        <v>30</v>
      </c>
      <c r="B33" s="2" t="s">
        <v>27</v>
      </c>
      <c r="C33" s="22" t="n">
        <f aca="false">IRR(Ejercicios!$B$222:$F$222)</f>
        <v>0.119380968328781</v>
      </c>
      <c r="D33" s="21" t="s">
        <v>250</v>
      </c>
      <c r="E33" s="21" t="s">
        <v>256</v>
      </c>
    </row>
    <row r="34" customFormat="false" ht="30" hidden="false" customHeight="true" outlineLevel="0" collapsed="false">
      <c r="A34" s="2" t="n">
        <v>31</v>
      </c>
      <c r="B34" s="2" t="s">
        <v>28</v>
      </c>
      <c r="C34" s="22" t="n">
        <f aca="false">Ejercicios!$B$227/Ejercicios!$B$228</f>
        <v>0.0869565217391304</v>
      </c>
      <c r="D34" s="21" t="s">
        <v>257</v>
      </c>
      <c r="E34" s="21" t="s">
        <v>258</v>
      </c>
    </row>
    <row r="35" customFormat="false" ht="30" hidden="false" customHeight="true" outlineLevel="0" collapsed="false">
      <c r="A35" s="2" t="n">
        <v>32</v>
      </c>
      <c r="B35" s="2" t="s">
        <v>28</v>
      </c>
      <c r="C35" s="22" t="n">
        <f aca="false">Ejercicios!$B$234/PV(Ejercicios!$B$236,Ejercicios!$B$235,-Ejercicios!$B$234,-Ejercicios!$B$233)</f>
        <v>0.106467584994392</v>
      </c>
      <c r="D35" s="21" t="s">
        <v>259</v>
      </c>
      <c r="E35" s="21" t="s">
        <v>260</v>
      </c>
    </row>
    <row r="36" customFormat="false" ht="30" hidden="false" customHeight="true" outlineLevel="0" collapsed="false">
      <c r="A36" s="2" t="n">
        <v>33</v>
      </c>
      <c r="B36" s="2" t="s">
        <v>28</v>
      </c>
      <c r="C36" s="22" t="n">
        <f aca="false">2*Ejercicios!$B$241/Ejercicios!$B$242</f>
        <v>0.0638297872340426</v>
      </c>
      <c r="D36" s="21" t="s">
        <v>261</v>
      </c>
      <c r="E36" s="21" t="s">
        <v>262</v>
      </c>
    </row>
    <row r="37" customFormat="false" ht="30" hidden="false" customHeight="true" outlineLevel="0" collapsed="false">
      <c r="A37" s="2" t="n">
        <v>34</v>
      </c>
      <c r="B37" s="2" t="s">
        <v>29</v>
      </c>
      <c r="C37" s="23" t="n">
        <f aca="false">SUMPRODUCT(Ejercicios!$B$248:$D$248,Ejercicios!$B$249:$D$249/(1+Ejercicios!$B$247)^Ejercicios!$B$248:$D$248)/SUMPRODUCT(Ejercicios!$B$249:$D$249/(1+Ejercicios!$B$247)^Ejercicios!$B$248:$D$248)</f>
        <v>2.73553719008265</v>
      </c>
      <c r="D37" s="21" t="s">
        <v>263</v>
      </c>
      <c r="E37" s="21" t="s">
        <v>264</v>
      </c>
    </row>
    <row r="38" customFormat="false" ht="30" hidden="false" customHeight="true" outlineLevel="0" collapsed="false">
      <c r="A38" s="2" t="n">
        <v>35</v>
      </c>
      <c r="B38" s="2" t="s">
        <v>30</v>
      </c>
      <c r="C38" s="23" t="n">
        <f aca="false">SUMPRODUCT(Ejercicios!$B$255:$D$255,Ejercicios!$B$256:$D$256/(1+Ejercicios!$B$254)^Ejercicios!$B$255:$D$255)/SUMPRODUCT(Ejercicios!$B$256:$D$256/(1+Ejercicios!$B$254)^Ejercicios!$B$255:$D$255)/(1+Ejercicios!$B$254)</f>
        <v>2.48685199098422</v>
      </c>
      <c r="D38" s="21" t="s">
        <v>265</v>
      </c>
      <c r="E38" s="21" t="s">
        <v>266</v>
      </c>
    </row>
    <row r="39" customFormat="false" ht="30" hidden="false" customHeight="true" outlineLevel="0" collapsed="false">
      <c r="A39" s="2" t="n">
        <v>36</v>
      </c>
      <c r="B39" s="2" t="s">
        <v>30</v>
      </c>
      <c r="C39" s="23" t="n">
        <f aca="false">Ejercicios!$B$261/(1+Ejercicios!$B$262)</f>
        <v>4.62962962962963</v>
      </c>
      <c r="D39" s="21" t="s">
        <v>267</v>
      </c>
      <c r="E39" s="21" t="s">
        <v>268</v>
      </c>
    </row>
    <row r="40" customFormat="false" ht="30" hidden="false" customHeight="true" outlineLevel="0" collapsed="false">
      <c r="A40" s="2" t="n">
        <v>37</v>
      </c>
      <c r="B40" s="2" t="s">
        <v>29</v>
      </c>
      <c r="C40" s="23" t="n">
        <f aca="false">SUMPRODUCT(Ejercicios!$B$268:$F$268,Ejercicios!$B$269:$F$269/(1+Ejercicios!$B$267)^Ejercicios!$B$268:$F$268)/SUMPRODUCT(Ejercicios!$B$269:$F$269/(1+Ejercicios!$B$267)^Ejercicios!$B$268:$F$268)</f>
        <v>4.28141208593343</v>
      </c>
      <c r="D40" s="21" t="s">
        <v>269</v>
      </c>
      <c r="E40" s="21" t="s">
        <v>270</v>
      </c>
    </row>
    <row r="41" customFormat="false" ht="30" hidden="false" customHeight="true" outlineLevel="0" collapsed="false">
      <c r="A41" s="2" t="n">
        <v>38</v>
      </c>
      <c r="B41" s="2" t="s">
        <v>31</v>
      </c>
      <c r="C41" s="23" t="n">
        <f aca="false">SUMPRODUCT(Ejercicios!$B$275:$E$275,Ejercicios!$B$276:$E$276/(1+Ejercicios!$B$274)^Ejercicios!$B$275:$E$275)/SUMPRODUCT(Ejercicios!$B$276:$E$276/(1+Ejercicios!$B$274)^Ejercicios!$B$275:$E$275)</f>
        <v>2.26103942466285</v>
      </c>
      <c r="D41" s="21" t="s">
        <v>271</v>
      </c>
      <c r="E41" s="21" t="s">
        <v>272</v>
      </c>
    </row>
    <row r="42" customFormat="false" ht="30" hidden="false" customHeight="true" outlineLevel="0" collapsed="false">
      <c r="A42" s="2" t="n">
        <v>39</v>
      </c>
      <c r="B42" s="2" t="s">
        <v>32</v>
      </c>
      <c r="C42" s="22" t="n">
        <f aca="false">-Ejercicios!$B$281*Ejercicios!$B$282</f>
        <v>-0.0225</v>
      </c>
      <c r="D42" s="21" t="s">
        <v>273</v>
      </c>
      <c r="E42" s="21" t="s">
        <v>274</v>
      </c>
    </row>
    <row r="43" customFormat="false" ht="30" hidden="false" customHeight="true" outlineLevel="0" collapsed="false">
      <c r="A43" s="2" t="n">
        <v>40</v>
      </c>
      <c r="B43" s="2" t="s">
        <v>33</v>
      </c>
      <c r="C43" s="20" t="n">
        <f aca="false">Ejercicios!$B$287*(1-Ejercicios!$B$288*Ejercicios!$B$289)</f>
        <v>106.59</v>
      </c>
      <c r="D43" s="21" t="s">
        <v>275</v>
      </c>
      <c r="E43" s="21" t="s">
        <v>276</v>
      </c>
    </row>
    <row r="44" customFormat="false" ht="30" hidden="false" customHeight="true" outlineLevel="0" collapsed="false">
      <c r="A44" s="2" t="n">
        <v>41</v>
      </c>
      <c r="B44" s="2" t="s">
        <v>34</v>
      </c>
      <c r="C44" s="22" t="n">
        <f aca="false">-Ejercicios!$B$294*Ejercicios!$B$296+0.5*Ejercicios!$B$295*Ejercicios!$B$296^2</f>
        <v>-0.0724</v>
      </c>
      <c r="D44" s="21" t="s">
        <v>277</v>
      </c>
      <c r="E44" s="21" t="s">
        <v>278</v>
      </c>
    </row>
    <row r="45" customFormat="false" ht="30" hidden="false" customHeight="true" outlineLevel="0" collapsed="false">
      <c r="A45" s="2" t="n">
        <v>42</v>
      </c>
      <c r="B45" s="2" t="s">
        <v>35</v>
      </c>
      <c r="C45" s="20" t="n">
        <f aca="false">Ejercicios!$B$301+Ejercicios!$B$301*Ejercicios!$B$302*Ejercicios!$B$303/365</f>
        <v>102.630136986301</v>
      </c>
      <c r="D45" s="21" t="s">
        <v>279</v>
      </c>
      <c r="E45" s="21" t="s">
        <v>280</v>
      </c>
    </row>
    <row r="46" customFormat="false" ht="30" hidden="false" customHeight="true" outlineLevel="0" collapsed="false">
      <c r="A46" s="2" t="n">
        <v>43</v>
      </c>
      <c r="B46" s="2" t="s">
        <v>36</v>
      </c>
      <c r="C46" s="22" t="n">
        <f aca="false">Ejercicios!$B$308/(Ejercicios!$B$309+Ejercicios!$B$309*Ejercicios!$B$310*Ejercicios!$B$311/365)</f>
        <v>0.925654030966364</v>
      </c>
      <c r="D46" s="21" t="s">
        <v>281</v>
      </c>
      <c r="E46" s="21" t="s">
        <v>282</v>
      </c>
    </row>
    <row r="47" customFormat="false" ht="30" hidden="false" customHeight="true" outlineLevel="0" collapsed="false">
      <c r="A47" s="2" t="n">
        <v>44</v>
      </c>
      <c r="B47" s="2" t="s">
        <v>37</v>
      </c>
      <c r="C47" s="20" t="n">
        <f aca="false">Ejercicios!$B$316-Ejercicios!$B$317</f>
        <v>99.2</v>
      </c>
      <c r="D47" s="21" t="s">
        <v>283</v>
      </c>
      <c r="E47" s="21" t="s">
        <v>284</v>
      </c>
    </row>
    <row r="48" customFormat="false" ht="30" hidden="false" customHeight="true" outlineLevel="0" collapsed="false">
      <c r="A48" s="2" t="n">
        <v>45</v>
      </c>
      <c r="B48" s="2" t="s">
        <v>38</v>
      </c>
      <c r="C48" s="22" t="n">
        <f aca="false">Ejercicios!$B$322/(Ejercicios!$B$323+Ejercicios!$B$323*Ejercicios!$B$324*Ejercicios!$B$325/365)</f>
        <v>0.943404634581105</v>
      </c>
      <c r="D48" s="21" t="s">
        <v>285</v>
      </c>
      <c r="E48" s="21" t="s">
        <v>286</v>
      </c>
    </row>
    <row r="49" customFormat="false" ht="30" hidden="false" customHeight="true" outlineLevel="0" collapsed="false">
      <c r="A49" s="2" t="n">
        <v>46</v>
      </c>
      <c r="B49" s="2" t="s">
        <v>39</v>
      </c>
      <c r="C49" s="20" t="n">
        <f aca="false">Ejercicios!$B$330/100*(Ejercicios!$B$331+Ejercicios!$B$332)</f>
        <v>9970</v>
      </c>
      <c r="D49" s="21" t="s">
        <v>287</v>
      </c>
      <c r="E49" s="21" t="s">
        <v>288</v>
      </c>
    </row>
    <row r="50" customFormat="false" ht="30" hidden="false" customHeight="true" outlineLevel="0" collapsed="false">
      <c r="A50" s="2" t="n">
        <v>47</v>
      </c>
      <c r="B50" s="2" t="s">
        <v>40</v>
      </c>
      <c r="C50" s="22" t="n">
        <f aca="false">XIRR(Ejercicios!$B$338:$E$338,Ejercicios!$B$337:$E$337)</f>
        <v>0.165244555353404</v>
      </c>
      <c r="D50" s="21" t="s">
        <v>289</v>
      </c>
      <c r="E50" s="21" t="s">
        <v>290</v>
      </c>
    </row>
    <row r="51" customFormat="false" ht="30" hidden="false" customHeight="true" outlineLevel="0" collapsed="false">
      <c r="A51" s="2" t="n">
        <v>48</v>
      </c>
      <c r="B51" s="2" t="s">
        <v>40</v>
      </c>
      <c r="C51" s="22" t="n">
        <f aca="false">XIRR(Ejercicios!$B$344:$C$344,Ejercicios!$B$343:$C$343)</f>
        <v>0.12528758746201</v>
      </c>
      <c r="D51" s="21" t="s">
        <v>289</v>
      </c>
      <c r="E51" s="21" t="s">
        <v>291</v>
      </c>
    </row>
    <row r="52" customFormat="false" ht="30" hidden="false" customHeight="true" outlineLevel="0" collapsed="false">
      <c r="A52" s="2" t="n">
        <v>49</v>
      </c>
      <c r="B52" s="2" t="s">
        <v>41</v>
      </c>
      <c r="C52" s="23" t="n">
        <f aca="false">(Ejercicios!$B$349*Ejercicios!$B$350+Ejercicios!$B$351*Ejercicios!$B$352+Ejercicios!$B$353*Ejercicios!$B$354)/(Ejercicios!$B$349+Ejercicios!$B$351+Ejercicios!$B$353)</f>
        <v>6.06666666666667</v>
      </c>
      <c r="D52" s="21" t="s">
        <v>292</v>
      </c>
      <c r="E52" s="21" t="s">
        <v>293</v>
      </c>
    </row>
    <row r="53" customFormat="false" ht="30" hidden="false" customHeight="true" outlineLevel="0" collapsed="false">
      <c r="A53" s="2" t="n">
        <v>50</v>
      </c>
      <c r="B53" s="2" t="s">
        <v>41</v>
      </c>
      <c r="C53" s="23" t="n">
        <f aca="false">(Ejercicios!$B$359*Ejercicios!$B$360+Ejercicios!$B$361*Ejercicios!$B$362)/(Ejercicios!$B$359+Ejercicios!$B$361)</f>
        <v>5.1</v>
      </c>
      <c r="D53" s="21" t="s">
        <v>294</v>
      </c>
      <c r="E53" s="21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9" t="s">
        <v>296</v>
      </c>
      <c r="B1" s="19" t="s">
        <v>297</v>
      </c>
      <c r="C1" s="19" t="s">
        <v>298</v>
      </c>
      <c r="D1" s="19" t="s">
        <v>299</v>
      </c>
    </row>
    <row r="2" customFormat="false" ht="26.85" hidden="false" customHeight="false" outlineLevel="0" collapsed="false">
      <c r="A2" s="21" t="s">
        <v>300</v>
      </c>
      <c r="B2" s="21" t="s">
        <v>301</v>
      </c>
      <c r="C2" s="21" t="s">
        <v>302</v>
      </c>
      <c r="D2" s="21" t="s">
        <v>303</v>
      </c>
    </row>
    <row r="3" customFormat="false" ht="15" hidden="false" customHeight="false" outlineLevel="0" collapsed="false">
      <c r="A3" s="21" t="s">
        <v>304</v>
      </c>
      <c r="B3" s="21" t="s">
        <v>305</v>
      </c>
      <c r="C3" s="21" t="s">
        <v>306</v>
      </c>
      <c r="D3" s="21" t="s">
        <v>307</v>
      </c>
    </row>
    <row r="4" customFormat="false" ht="15" hidden="false" customHeight="false" outlineLevel="0" collapsed="false">
      <c r="A4" s="21" t="s">
        <v>308</v>
      </c>
      <c r="B4" s="21" t="s">
        <v>309</v>
      </c>
      <c r="C4" s="21" t="s">
        <v>310</v>
      </c>
      <c r="D4" s="21" t="s">
        <v>311</v>
      </c>
    </row>
    <row r="5" customFormat="false" ht="26.85" hidden="false" customHeight="false" outlineLevel="0" collapsed="false">
      <c r="A5" s="21" t="s">
        <v>312</v>
      </c>
      <c r="B5" s="21" t="s">
        <v>313</v>
      </c>
      <c r="C5" s="21" t="s">
        <v>314</v>
      </c>
      <c r="D5" s="21" t="s">
        <v>315</v>
      </c>
    </row>
    <row r="6" customFormat="false" ht="15" hidden="false" customHeight="false" outlineLevel="0" collapsed="false">
      <c r="A6" s="21" t="s">
        <v>316</v>
      </c>
      <c r="B6" s="21" t="s">
        <v>317</v>
      </c>
      <c r="C6" s="21" t="s">
        <v>318</v>
      </c>
      <c r="D6" s="21" t="s">
        <v>319</v>
      </c>
    </row>
    <row r="7" customFormat="false" ht="15" hidden="false" customHeight="false" outlineLevel="0" collapsed="false">
      <c r="A7" s="21" t="s">
        <v>320</v>
      </c>
      <c r="B7" s="21" t="s">
        <v>321</v>
      </c>
      <c r="C7" s="21" t="s">
        <v>322</v>
      </c>
      <c r="D7" s="21" t="s">
        <v>323</v>
      </c>
    </row>
    <row r="8" customFormat="false" ht="15" hidden="false" customHeight="false" outlineLevel="0" collapsed="false">
      <c r="A8" s="21" t="s">
        <v>324</v>
      </c>
      <c r="B8" s="21" t="s">
        <v>325</v>
      </c>
      <c r="C8" s="21" t="s">
        <v>326</v>
      </c>
      <c r="D8" s="21"/>
    </row>
    <row r="9" customFormat="false" ht="15" hidden="false" customHeight="false" outlineLevel="0" collapsed="false">
      <c r="A9" s="21" t="s">
        <v>327</v>
      </c>
      <c r="B9" s="21" t="s">
        <v>328</v>
      </c>
      <c r="C9" s="21" t="s">
        <v>329</v>
      </c>
      <c r="D9" s="21" t="s">
        <v>330</v>
      </c>
    </row>
    <row r="10" customFormat="false" ht="15" hidden="false" customHeight="false" outlineLevel="0" collapsed="false">
      <c r="A10" s="21" t="s">
        <v>331</v>
      </c>
      <c r="B10" s="21" t="s">
        <v>332</v>
      </c>
      <c r="C10" s="21"/>
      <c r="D10" s="21" t="s">
        <v>333</v>
      </c>
    </row>
    <row r="11" customFormat="false" ht="15" hidden="false" customHeight="false" outlineLevel="0" collapsed="false">
      <c r="A11" s="21" t="s">
        <v>28</v>
      </c>
      <c r="B11" s="21" t="s">
        <v>334</v>
      </c>
      <c r="C11" s="21" t="s">
        <v>335</v>
      </c>
      <c r="D11" s="21"/>
    </row>
    <row r="12" customFormat="false" ht="26.85" hidden="false" customHeight="false" outlineLevel="0" collapsed="false">
      <c r="A12" s="21" t="s">
        <v>336</v>
      </c>
      <c r="B12" s="21" t="s">
        <v>337</v>
      </c>
      <c r="C12" s="21"/>
      <c r="D12" s="21" t="s">
        <v>338</v>
      </c>
    </row>
    <row r="13" customFormat="false" ht="15" hidden="false" customHeight="false" outlineLevel="0" collapsed="false">
      <c r="A13" s="21" t="s">
        <v>30</v>
      </c>
      <c r="B13" s="21" t="s">
        <v>339</v>
      </c>
      <c r="C13" s="21"/>
      <c r="D13" s="21" t="s">
        <v>340</v>
      </c>
    </row>
    <row r="14" customFormat="false" ht="15" hidden="false" customHeight="false" outlineLevel="0" collapsed="false">
      <c r="A14" s="21" t="s">
        <v>341</v>
      </c>
      <c r="B14" s="21" t="s">
        <v>342</v>
      </c>
      <c r="C14" s="21" t="s">
        <v>343</v>
      </c>
      <c r="D14" s="21" t="s">
        <v>344</v>
      </c>
    </row>
    <row r="15" customFormat="false" ht="15" hidden="false" customHeight="false" outlineLevel="0" collapsed="false">
      <c r="A15" s="21" t="s">
        <v>35</v>
      </c>
      <c r="B15" s="21" t="s">
        <v>345</v>
      </c>
      <c r="C15" s="21"/>
      <c r="D15" s="21" t="s">
        <v>346</v>
      </c>
    </row>
    <row r="16" customFormat="false" ht="15" hidden="false" customHeight="false" outlineLevel="0" collapsed="false">
      <c r="A16" s="21" t="s">
        <v>36</v>
      </c>
      <c r="B16" s="21" t="s">
        <v>347</v>
      </c>
      <c r="C16" s="21"/>
      <c r="D16" s="21" t="s">
        <v>348</v>
      </c>
    </row>
    <row r="17" customFormat="false" ht="15" hidden="false" customHeight="false" outlineLevel="0" collapsed="false">
      <c r="A17" s="21" t="s">
        <v>37</v>
      </c>
      <c r="B17" s="21" t="s">
        <v>349</v>
      </c>
      <c r="C17" s="21"/>
      <c r="D17" s="21"/>
    </row>
    <row r="19" customFormat="false" ht="15" hidden="false" customHeight="false" outlineLevel="0" collapsed="false">
      <c r="A19" s="8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2026-11-01T13:32:40Z</dcterms:created>
  <dc:creator>openpyxl</dc:creator>
  <dc:description/>
  <dc:language>en-US</dc:language>
  <cp:lastModifiedBy/>
  <dcterms:modified xsi:type="dcterms:W3CDTF">2026-11-01T13:32:40Z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