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Rápidos" sheetId="2" state="visible" r:id="rId2"/>
    <sheet xmlns:r="http://schemas.openxmlformats.org/officeDocument/2006/relationships" name="Completos" sheetId="3" state="visible" r:id="rId3"/>
    <sheet xmlns:r="http://schemas.openxmlformats.org/officeDocument/2006/relationships" name="Solu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00%"/>
    <numFmt numFmtId="166" formatCode="0.0000"/>
    <numFmt numFmtId="167" formatCode="yyyy-mm-dd"/>
    <numFmt numFmtId="168" formatCode="dd/mm/yyyy"/>
    <numFmt numFmtId="169" formatCode="#,##0.00##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FF666666"/>
    </font>
    <font>
      <b val="1"/>
      <color rgb="FFFFFFFF"/>
      <sz val="12"/>
    </font>
    <font>
      <b val="1"/>
    </font>
    <font>
      <b val="1"/>
      <color rgb="FF2E5EAA"/>
    </font>
    <font>
      <color rgb="FF0000FF"/>
    </font>
    <font>
      <b val="1"/>
      <sz val="15"/>
    </font>
    <font>
      <color rgb="FF2E5EAA"/>
      <u val="single"/>
    </font>
  </fonts>
  <fills count="5">
    <fill>
      <patternFill/>
    </fill>
    <fill>
      <patternFill patternType="gray125"/>
    </fill>
    <fill>
      <patternFill patternType="solid">
        <fgColor rgb="FF2E5EAA"/>
      </patternFill>
    </fill>
    <fill>
      <patternFill patternType="solid">
        <fgColor rgb="FFF2F4F7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BDC6D2"/>
      </left>
      <right style="thin">
        <color rgb="FFBDC6D2"/>
      </right>
      <top style="thin">
        <color rgb="FFBDC6D2"/>
      </top>
      <bottom style="thin">
        <color rgb="FFBDC6D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0" fontId="6" fillId="0" borderId="0" pivotButton="0" quotePrefix="0" xfId="0"/>
    <xf numFmtId="169" fontId="0" fillId="4" borderId="1" pivotButton="0" quotePrefix="0" xfId="0"/>
    <xf numFmtId="10" fontId="0" fillId="4" borderId="1" pivotButton="0" quotePrefix="0" xfId="0"/>
    <xf numFmtId="168" fontId="6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5" fillId="0" borderId="0" pivotButton="0" quotePrefix="0" xfId="0"/>
    <xf numFmtId="0" fontId="4" fillId="3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5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&#225;pidos'!A5" TargetMode="External" Id="rId1"/><Relationship Type="http://schemas.openxmlformats.org/officeDocument/2006/relationships/hyperlink" Target="#'R&#225;pidos'!A13" TargetMode="External" Id="rId2"/><Relationship Type="http://schemas.openxmlformats.org/officeDocument/2006/relationships/hyperlink" Target="#'R&#225;pidos'!A21" TargetMode="External" Id="rId3"/><Relationship Type="http://schemas.openxmlformats.org/officeDocument/2006/relationships/hyperlink" Target="#'R&#225;pidos'!A28" TargetMode="External" Id="rId4"/><Relationship Type="http://schemas.openxmlformats.org/officeDocument/2006/relationships/hyperlink" Target="#'R&#225;pidos'!A35" TargetMode="External" Id="rId5"/><Relationship Type="http://schemas.openxmlformats.org/officeDocument/2006/relationships/hyperlink" Target="#'R&#225;pidos'!A42" TargetMode="External" Id="rId6"/><Relationship Type="http://schemas.openxmlformats.org/officeDocument/2006/relationships/hyperlink" Target="#'R&#225;pidos'!A49" TargetMode="External" Id="rId7"/><Relationship Type="http://schemas.openxmlformats.org/officeDocument/2006/relationships/hyperlink" Target="#'R&#225;pidos'!A56" TargetMode="External" Id="rId8"/><Relationship Type="http://schemas.openxmlformats.org/officeDocument/2006/relationships/hyperlink" Target="#'R&#225;pidos'!A64" TargetMode="External" Id="rId9"/><Relationship Type="http://schemas.openxmlformats.org/officeDocument/2006/relationships/hyperlink" Target="#'R&#225;pidos'!A72" TargetMode="External" Id="rId10"/><Relationship Type="http://schemas.openxmlformats.org/officeDocument/2006/relationships/hyperlink" Target="#'R&#225;pidos'!A80" TargetMode="External" Id="rId11"/><Relationship Type="http://schemas.openxmlformats.org/officeDocument/2006/relationships/hyperlink" Target="#'R&#225;pidos'!A88" TargetMode="External" Id="rId12"/><Relationship Type="http://schemas.openxmlformats.org/officeDocument/2006/relationships/hyperlink" Target="#'R&#225;pidos'!A95" TargetMode="External" Id="rId13"/><Relationship Type="http://schemas.openxmlformats.org/officeDocument/2006/relationships/hyperlink" Target="#'R&#225;pidos'!A103" TargetMode="External" Id="rId14"/><Relationship Type="http://schemas.openxmlformats.org/officeDocument/2006/relationships/hyperlink" Target="#'R&#225;pidos'!A111" TargetMode="External" Id="rId15"/><Relationship Type="http://schemas.openxmlformats.org/officeDocument/2006/relationships/hyperlink" Target="#'R&#225;pidos'!A118" TargetMode="External" Id="rId16"/><Relationship Type="http://schemas.openxmlformats.org/officeDocument/2006/relationships/hyperlink" Target="#'R&#225;pidos'!A129" TargetMode="External" Id="rId17"/><Relationship Type="http://schemas.openxmlformats.org/officeDocument/2006/relationships/hyperlink" Target="#'R&#225;pidos'!A136" TargetMode="External" Id="rId18"/><Relationship Type="http://schemas.openxmlformats.org/officeDocument/2006/relationships/hyperlink" Target="#'R&#225;pidos'!A144" TargetMode="External" Id="rId19"/><Relationship Type="http://schemas.openxmlformats.org/officeDocument/2006/relationships/hyperlink" Target="#'R&#225;pidos'!A152" TargetMode="External" Id="rId20"/><Relationship Type="http://schemas.openxmlformats.org/officeDocument/2006/relationships/hyperlink" Target="#'Completos'!A5" TargetMode="External" Id="rId21"/><Relationship Type="http://schemas.openxmlformats.org/officeDocument/2006/relationships/hyperlink" Target="#'Completos'!A26" TargetMode="External" Id="rId22"/><Relationship Type="http://schemas.openxmlformats.org/officeDocument/2006/relationships/hyperlink" Target="#'Completos'!A47" TargetMode="External" Id="rId23"/><Relationship Type="http://schemas.openxmlformats.org/officeDocument/2006/relationships/hyperlink" Target="#'Completos'!A68" TargetMode="External" Id="rId24"/><Relationship Type="http://schemas.openxmlformats.org/officeDocument/2006/relationships/hyperlink" Target="#'Completos'!A89" TargetMode="External" Id="rId25"/><Relationship Type="http://schemas.openxmlformats.org/officeDocument/2006/relationships/hyperlink" Target="#'Completos'!A110" TargetMode="External" Id="rId26"/><Relationship Type="http://schemas.openxmlformats.org/officeDocument/2006/relationships/hyperlink" Target="#'Completos'!A131" TargetMode="External" Id="rId27"/><Relationship Type="http://schemas.openxmlformats.org/officeDocument/2006/relationships/hyperlink" Target="#'Completos'!A152" TargetMode="External" Id="rId28"/><Relationship Type="http://schemas.openxmlformats.org/officeDocument/2006/relationships/hyperlink" Target="#'Completos'!A173" TargetMode="External" Id="rId29"/><Relationship Type="http://schemas.openxmlformats.org/officeDocument/2006/relationships/hyperlink" Target="#'Completos'!A194" TargetMode="External" Id="rId30"/><Relationship Type="http://schemas.openxmlformats.org/officeDocument/2006/relationships/hyperlink" Target="#'Completos'!A215" TargetMode="External" Id="rId31"/><Relationship Type="http://schemas.openxmlformats.org/officeDocument/2006/relationships/hyperlink" Target="#'Completos'!A236" TargetMode="External" Id="rId32"/><Relationship Type="http://schemas.openxmlformats.org/officeDocument/2006/relationships/hyperlink" Target="#'Completos'!A257" TargetMode="External" Id="rId33"/><Relationship Type="http://schemas.openxmlformats.org/officeDocument/2006/relationships/hyperlink" Target="#'Completos'!A278" TargetMode="External" Id="rId34"/><Relationship Type="http://schemas.openxmlformats.org/officeDocument/2006/relationships/hyperlink" Target="#'Completos'!A299" TargetMode="External" Id="rId35"/><Relationship Type="http://schemas.openxmlformats.org/officeDocument/2006/relationships/hyperlink" Target="#'Completos'!A320" TargetMode="External" Id="rId36"/><Relationship Type="http://schemas.openxmlformats.org/officeDocument/2006/relationships/hyperlink" Target="#'Completos'!A341" TargetMode="External" Id="rId37"/><Relationship Type="http://schemas.openxmlformats.org/officeDocument/2006/relationships/hyperlink" Target="#'Completos'!A362" TargetMode="External" Id="rId38"/><Relationship Type="http://schemas.openxmlformats.org/officeDocument/2006/relationships/hyperlink" Target="#'Completos'!A383" TargetMode="External" Id="rId39"/><Relationship Type="http://schemas.openxmlformats.org/officeDocument/2006/relationships/hyperlink" Target="#'Completos'!A404" TargetMode="External" Id="rId40"/><Relationship Type="http://schemas.openxmlformats.org/officeDocument/2006/relationships/hyperlink" Target="#'Completos'!A425" TargetMode="External" Id="rId41"/><Relationship Type="http://schemas.openxmlformats.org/officeDocument/2006/relationships/hyperlink" Target="#'Completos'!A446" TargetMode="External" Id="rId42"/><Relationship Type="http://schemas.openxmlformats.org/officeDocument/2006/relationships/hyperlink" Target="#'Completos'!A467" TargetMode="External" Id="rId43"/><Relationship Type="http://schemas.openxmlformats.org/officeDocument/2006/relationships/hyperlink" Target="#'Completos'!A488" TargetMode="External" Id="rId44"/><Relationship Type="http://schemas.openxmlformats.org/officeDocument/2006/relationships/hyperlink" Target="#'Completos'!A509" TargetMode="External" Id="rId45"/><Relationship Type="http://schemas.openxmlformats.org/officeDocument/2006/relationships/hyperlink" Target="#'Completos'!A530" TargetMode="External" Id="rId46"/><Relationship Type="http://schemas.openxmlformats.org/officeDocument/2006/relationships/hyperlink" Target="#'Completos'!A551" TargetMode="External" Id="rId47"/><Relationship Type="http://schemas.openxmlformats.org/officeDocument/2006/relationships/hyperlink" Target="#'Completos'!A572" TargetMode="External" Id="rId48"/><Relationship Type="http://schemas.openxmlformats.org/officeDocument/2006/relationships/hyperlink" Target="#'Completos'!A593" TargetMode="External" Id="rId49"/><Relationship Type="http://schemas.openxmlformats.org/officeDocument/2006/relationships/hyperlink" Target="#'Completos'!A614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16" customWidth="1" min="4" max="4"/>
    <col width="14" customWidth="1" min="5" max="5"/>
  </cols>
  <sheetData>
    <row r="1">
      <c r="A1" s="1" t="inlineStr">
        <is>
          <t>Bonos y TIR · serie 2 · 50 ejercicios</t>
        </is>
      </c>
    </row>
    <row r="2">
      <c r="A2" s="2" t="inlineStr">
        <is>
          <t>20 rápidos con los datos y flujos cargados y 30 completos con solo la consigna, para armar el flujo de fondos desde cero. Cada respuesta se corrige sola.</t>
        </is>
      </c>
    </row>
    <row r="3">
      <c r="A3" s="2" t="inlineStr">
        <is>
          <t>Hojas: Rápidos · Completos · Soluciones (al final, para mirar después).</t>
        </is>
      </c>
    </row>
    <row r="5">
      <c r="A5" s="3" t="inlineStr">
        <is>
          <t>N.º</t>
        </is>
      </c>
      <c r="B5" s="3" t="inlineStr">
        <is>
          <t>Tipo</t>
        </is>
      </c>
      <c r="C5" s="3" t="inlineStr">
        <is>
          <t>Tema</t>
        </is>
      </c>
      <c r="D5" s="3" t="inlineStr">
        <is>
          <t>Estado</t>
        </is>
      </c>
      <c r="E5" s="3" t="inlineStr">
        <is>
          <t>Ir</t>
        </is>
      </c>
    </row>
    <row r="6">
      <c r="A6" t="n">
        <v>51</v>
      </c>
      <c r="B6" t="inlineStr">
        <is>
          <t>Rápido</t>
        </is>
      </c>
      <c r="C6" t="inlineStr">
        <is>
          <t>Cupón cero · precio</t>
        </is>
      </c>
      <c r="D6">
        <f>IF(Rápidos!$D$10="","Pendiente",Rápidos!$D$10)</f>
        <v/>
      </c>
      <c r="E6" s="4" t="inlineStr">
        <is>
          <t>Ir al ej. 51</t>
        </is>
      </c>
    </row>
    <row r="7">
      <c r="A7" t="n">
        <v>52</v>
      </c>
      <c r="B7" t="inlineStr">
        <is>
          <t>Rápido</t>
        </is>
      </c>
      <c r="C7" t="inlineStr">
        <is>
          <t>Letra · TNA</t>
        </is>
      </c>
      <c r="D7">
        <f>IF(Rápidos!$D$18="","Pendiente",Rápidos!$D$18)</f>
        <v/>
      </c>
      <c r="E7" s="4" t="inlineStr">
        <is>
          <t>Ir al ej. 52</t>
        </is>
      </c>
    </row>
    <row r="8">
      <c r="A8" t="n">
        <v>53</v>
      </c>
      <c r="B8" t="inlineStr">
        <is>
          <t>Rápido</t>
        </is>
      </c>
      <c r="C8" t="inlineStr">
        <is>
          <t>TNA → TEA</t>
        </is>
      </c>
      <c r="D8">
        <f>IF(Rápidos!$D$25="","Pendiente",Rápidos!$D$25)</f>
        <v/>
      </c>
      <c r="E8" s="4" t="inlineStr">
        <is>
          <t>Ir al ej. 53</t>
        </is>
      </c>
    </row>
    <row r="9">
      <c r="A9" t="n">
        <v>54</v>
      </c>
      <c r="B9" t="inlineStr">
        <is>
          <t>Rápido</t>
        </is>
      </c>
      <c r="C9" t="inlineStr">
        <is>
          <t>TEA → TEM</t>
        </is>
      </c>
      <c r="D9">
        <f>IF(Rápidos!$D$32="","Pendiente",Rápidos!$D$32)</f>
        <v/>
      </c>
      <c r="E9" s="4" t="inlineStr">
        <is>
          <t>Ir al ej. 54</t>
        </is>
      </c>
    </row>
    <row r="10">
      <c r="A10" t="n">
        <v>55</v>
      </c>
      <c r="B10" t="inlineStr">
        <is>
          <t>Rápido</t>
        </is>
      </c>
      <c r="C10" t="inlineStr">
        <is>
          <t>Bullet anual · TIR</t>
        </is>
      </c>
      <c r="D10">
        <f>IF(Rápidos!$D$39="","Pendiente",Rápidos!$D$39)</f>
        <v/>
      </c>
      <c r="E10" s="4" t="inlineStr">
        <is>
          <t>Ir al ej. 55</t>
        </is>
      </c>
    </row>
    <row r="11">
      <c r="A11" t="n">
        <v>56</v>
      </c>
      <c r="B11" t="inlineStr">
        <is>
          <t>Rápido</t>
        </is>
      </c>
      <c r="C11" t="inlineStr">
        <is>
          <t>Semestral · TIR → TEA</t>
        </is>
      </c>
      <c r="D11">
        <f>IF(Rápidos!$D$46="","Pendiente",Rápidos!$D$46)</f>
        <v/>
      </c>
      <c r="E11" s="4" t="inlineStr">
        <is>
          <t>Ir al ej. 56</t>
        </is>
      </c>
    </row>
    <row r="12">
      <c r="A12" t="n">
        <v>57</v>
      </c>
      <c r="B12" t="inlineStr">
        <is>
          <t>Rápido</t>
        </is>
      </c>
      <c r="C12" t="inlineStr">
        <is>
          <t>Current yield</t>
        </is>
      </c>
      <c r="D12">
        <f>IF(Rápidos!$D$53="","Pendiente",Rápidos!$D$53)</f>
        <v/>
      </c>
      <c r="E12" s="4" t="inlineStr">
        <is>
          <t>Ir al ej. 57</t>
        </is>
      </c>
    </row>
    <row r="13">
      <c r="A13" t="n">
        <v>58</v>
      </c>
      <c r="B13" t="inlineStr">
        <is>
          <t>Rápido</t>
        </is>
      </c>
      <c r="C13" t="inlineStr">
        <is>
          <t>Paridad</t>
        </is>
      </c>
      <c r="D13">
        <f>IF(Rápidos!$D$61="","Pendiente",Rápidos!$D$61)</f>
        <v/>
      </c>
      <c r="E13" s="4" t="inlineStr">
        <is>
          <t>Ir al ej. 58</t>
        </is>
      </c>
    </row>
    <row r="14">
      <c r="A14" t="n">
        <v>59</v>
      </c>
      <c r="B14" t="inlineStr">
        <is>
          <t>Rápido</t>
        </is>
      </c>
      <c r="C14" t="inlineStr">
        <is>
          <t>Valor técnico</t>
        </is>
      </c>
      <c r="D14">
        <f>IF(Rápidos!$D$69="","Pendiente",Rápidos!$D$69)</f>
        <v/>
      </c>
      <c r="E14" s="4" t="inlineStr">
        <is>
          <t>Ir al ej. 59</t>
        </is>
      </c>
    </row>
    <row r="15">
      <c r="A15" t="n">
        <v>60</v>
      </c>
      <c r="B15" t="inlineStr">
        <is>
          <t>Rápido</t>
        </is>
      </c>
      <c r="C15" t="inlineStr">
        <is>
          <t>Duration con flujos</t>
        </is>
      </c>
      <c r="D15">
        <f>IF(Rápidos!$D$77="","Pendiente",Rápidos!$D$77)</f>
        <v/>
      </c>
      <c r="E15" s="4" t="inlineStr">
        <is>
          <t>Ir al ej. 60</t>
        </is>
      </c>
    </row>
    <row r="16">
      <c r="A16" t="n">
        <v>61</v>
      </c>
      <c r="B16" t="inlineStr">
        <is>
          <t>Rápido</t>
        </is>
      </c>
      <c r="C16" t="inlineStr">
        <is>
          <t>Duration modificada</t>
        </is>
      </c>
      <c r="D16">
        <f>IF(Rápidos!$D$85="","Pendiente",Rápidos!$D$85)</f>
        <v/>
      </c>
      <c r="E16" s="4" t="inlineStr">
        <is>
          <t>Ir al ej. 61</t>
        </is>
      </c>
    </row>
    <row r="17">
      <c r="A17" t="n">
        <v>62</v>
      </c>
      <c r="B17" t="inlineStr">
        <is>
          <t>Rápido</t>
        </is>
      </c>
      <c r="C17" t="inlineStr">
        <is>
          <t>Variación de precio con DM</t>
        </is>
      </c>
      <c r="D17">
        <f>IF(Rápidos!$D$92="","Pendiente",Rápidos!$D$92)</f>
        <v/>
      </c>
      <c r="E17" s="4" t="inlineStr">
        <is>
          <t>Ir al ej. 62</t>
        </is>
      </c>
    </row>
    <row r="18">
      <c r="A18" t="n">
        <v>63</v>
      </c>
      <c r="B18" t="inlineStr">
        <is>
          <t>Rápido</t>
        </is>
      </c>
      <c r="C18" t="inlineStr">
        <is>
          <t>DM + convexidad</t>
        </is>
      </c>
      <c r="D18">
        <f>IF(Rápidos!$D$100="","Pendiente",Rápidos!$D$100)</f>
        <v/>
      </c>
      <c r="E18" s="4" t="inlineStr">
        <is>
          <t>Ir al ej. 63</t>
        </is>
      </c>
    </row>
    <row r="19">
      <c r="A19" t="n">
        <v>64</v>
      </c>
      <c r="B19" t="inlineStr">
        <is>
          <t>Rápido</t>
        </is>
      </c>
      <c r="C19" t="inlineStr">
        <is>
          <t>Precio con flujos</t>
        </is>
      </c>
      <c r="D19">
        <f>IF(Rápidos!$D$108="","Pendiente",Rápidos!$D$108)</f>
        <v/>
      </c>
      <c r="E19" s="4" t="inlineStr">
        <is>
          <t>Ir al ej. 64</t>
        </is>
      </c>
    </row>
    <row r="20">
      <c r="A20" t="n">
        <v>65</v>
      </c>
      <c r="B20" t="inlineStr">
        <is>
          <t>Rápido</t>
        </is>
      </c>
      <c r="C20" t="inlineStr">
        <is>
          <t>PPV con flujos</t>
        </is>
      </c>
      <c r="D20">
        <f>IF(Rápidos!$D$115="","Pendiente",Rápidos!$D$115)</f>
        <v/>
      </c>
      <c r="E20" s="4" t="inlineStr">
        <is>
          <t>Ir al ej. 65</t>
        </is>
      </c>
    </row>
    <row r="21">
      <c r="A21" t="n">
        <v>66</v>
      </c>
      <c r="B21" t="inlineStr">
        <is>
          <t>Rápido</t>
        </is>
      </c>
      <c r="C21" t="inlineStr">
        <is>
          <t>Duration de cartera</t>
        </is>
      </c>
      <c r="D21">
        <f>IF(Rápidos!$D$126="","Pendiente",Rápidos!$D$126)</f>
        <v/>
      </c>
      <c r="E21" s="4" t="inlineStr">
        <is>
          <t>Ir al ej. 66</t>
        </is>
      </c>
    </row>
    <row r="22">
      <c r="A22" t="n">
        <v>67</v>
      </c>
      <c r="B22" t="inlineStr">
        <is>
          <t>Rápido</t>
        </is>
      </c>
      <c r="C22" t="inlineStr">
        <is>
          <t>TIR.NO.PER</t>
        </is>
      </c>
      <c r="D22">
        <f>IF(Rápidos!$D$133="","Pendiente",Rápidos!$D$133)</f>
        <v/>
      </c>
      <c r="E22" s="4" t="inlineStr">
        <is>
          <t>Ir al ej. 67</t>
        </is>
      </c>
    </row>
    <row r="23">
      <c r="A23" t="n">
        <v>68</v>
      </c>
      <c r="B23" t="inlineStr">
        <is>
          <t>Rápido</t>
        </is>
      </c>
      <c r="C23" t="inlineStr">
        <is>
          <t>Monto a invertir</t>
        </is>
      </c>
      <c r="D23">
        <f>IF(Rápidos!$D$141="","Pendiente",Rápidos!$D$141)</f>
        <v/>
      </c>
      <c r="E23" s="4" t="inlineStr">
        <is>
          <t>Ir al ej. 68</t>
        </is>
      </c>
    </row>
    <row r="24">
      <c r="A24" t="n">
        <v>69</v>
      </c>
      <c r="B24" t="inlineStr">
        <is>
          <t>Rápido</t>
        </is>
      </c>
      <c r="C24" t="inlineStr">
        <is>
          <t>Caución</t>
        </is>
      </c>
      <c r="D24">
        <f>IF(Rápidos!$D$149="","Pendiente",Rápidos!$D$149)</f>
        <v/>
      </c>
      <c r="E24" s="4" t="inlineStr">
        <is>
          <t>Ir al ej. 69</t>
        </is>
      </c>
    </row>
    <row r="25">
      <c r="A25" t="n">
        <v>70</v>
      </c>
      <c r="B25" t="inlineStr">
        <is>
          <t>Rápido</t>
        </is>
      </c>
      <c r="C25" t="inlineStr">
        <is>
          <t>TIR nominal → TEA</t>
        </is>
      </c>
      <c r="D25">
        <f>IF(Rápidos!$D$156="","Pendiente",Rápidos!$D$156)</f>
        <v/>
      </c>
      <c r="E25" s="4" t="inlineStr">
        <is>
          <t>Ir al ej. 70</t>
        </is>
      </c>
    </row>
    <row r="26">
      <c r="A26" t="n">
        <v>71</v>
      </c>
      <c r="B26" t="inlineStr">
        <is>
          <t>Completo</t>
        </is>
      </c>
      <c r="C26" t="inlineStr">
        <is>
          <t>Bullet anual · TIR</t>
        </is>
      </c>
      <c r="D26">
        <f>IF(Completos!$D$7="","Pendiente",Completos!$D$7)</f>
        <v/>
      </c>
      <c r="E26" s="4" t="inlineStr">
        <is>
          <t>Ir al ej. 71</t>
        </is>
      </c>
    </row>
    <row r="27">
      <c r="A27" t="n">
        <v>72</v>
      </c>
      <c r="B27" t="inlineStr">
        <is>
          <t>Completo</t>
        </is>
      </c>
      <c r="C27" t="inlineStr">
        <is>
          <t>Bullet semestral · TEA</t>
        </is>
      </c>
      <c r="D27">
        <f>IF(Completos!$D$28="","Pendiente",Completos!$D$28)</f>
        <v/>
      </c>
      <c r="E27" s="4" t="inlineStr">
        <is>
          <t>Ir al ej. 72</t>
        </is>
      </c>
    </row>
    <row r="28">
      <c r="A28" t="n">
        <v>73</v>
      </c>
      <c r="B28" t="inlineStr">
        <is>
          <t>Completo</t>
        </is>
      </c>
      <c r="C28" t="inlineStr">
        <is>
          <t>Bullet semestral · TIR nominal</t>
        </is>
      </c>
      <c r="D28">
        <f>IF(Completos!$D$49="","Pendiente",Completos!$D$49)</f>
        <v/>
      </c>
      <c r="E28" s="4" t="inlineStr">
        <is>
          <t>Ir al ej. 73</t>
        </is>
      </c>
    </row>
    <row r="29">
      <c r="A29" t="n">
        <v>74</v>
      </c>
      <c r="B29" t="inlineStr">
        <is>
          <t>Completo</t>
        </is>
      </c>
      <c r="C29" t="inlineStr">
        <is>
          <t>Amortizable · precio</t>
        </is>
      </c>
      <c r="D29">
        <f>IF(Completos!$D$70="","Pendiente",Completos!$D$70)</f>
        <v/>
      </c>
      <c r="E29" s="4" t="inlineStr">
        <is>
          <t>Ir al ej. 74</t>
        </is>
      </c>
    </row>
    <row r="30">
      <c r="A30" t="n">
        <v>75</v>
      </c>
      <c r="B30" t="inlineStr">
        <is>
          <t>Completo</t>
        </is>
      </c>
      <c r="C30" t="inlineStr">
        <is>
          <t>Amortizable con gracia · TEA</t>
        </is>
      </c>
      <c r="D30">
        <f>IF(Completos!$D$91="","Pendiente",Completos!$D$91)</f>
        <v/>
      </c>
      <c r="E30" s="4" t="inlineStr">
        <is>
          <t>Ir al ej. 75</t>
        </is>
      </c>
    </row>
    <row r="31">
      <c r="A31" t="n">
        <v>76</v>
      </c>
      <c r="B31" t="inlineStr">
        <is>
          <t>Completo</t>
        </is>
      </c>
      <c r="C31" t="inlineStr">
        <is>
          <t>Duration de un bullet</t>
        </is>
      </c>
      <c r="D31">
        <f>IF(Completos!$D$112="","Pendiente",Completos!$D$112)</f>
        <v/>
      </c>
      <c r="E31" s="4" t="inlineStr">
        <is>
          <t>Ir al ej. 76</t>
        </is>
      </c>
    </row>
    <row r="32">
      <c r="A32" t="n">
        <v>77</v>
      </c>
      <c r="B32" t="inlineStr">
        <is>
          <t>Completo</t>
        </is>
      </c>
      <c r="C32" t="inlineStr">
        <is>
          <t>Duration modificada semestral</t>
        </is>
      </c>
      <c r="D32">
        <f>IF(Completos!$D$133="","Pendiente",Completos!$D$133)</f>
        <v/>
      </c>
      <c r="E32" s="4" t="inlineStr">
        <is>
          <t>Ir al ej. 77</t>
        </is>
      </c>
    </row>
    <row r="33">
      <c r="A33" t="n">
        <v>78</v>
      </c>
      <c r="B33" t="inlineStr">
        <is>
          <t>Completo</t>
        </is>
      </c>
      <c r="C33" t="inlineStr">
        <is>
          <t>Convexidad</t>
        </is>
      </c>
      <c r="D33">
        <f>IF(Completos!$D$154="","Pendiente",Completos!$D$154)</f>
        <v/>
      </c>
      <c r="E33" s="4" t="inlineStr">
        <is>
          <t>Ir al ej. 78</t>
        </is>
      </c>
    </row>
    <row r="34">
      <c r="A34" t="n">
        <v>79</v>
      </c>
      <c r="B34" t="inlineStr">
        <is>
          <t>Completo</t>
        </is>
      </c>
      <c r="C34" t="inlineStr">
        <is>
          <t>PPV de un amortizable</t>
        </is>
      </c>
      <c r="D34">
        <f>IF(Completos!$D$175="","Pendiente",Completos!$D$175)</f>
        <v/>
      </c>
      <c r="E34" s="4" t="inlineStr">
        <is>
          <t>Ir al ej. 79</t>
        </is>
      </c>
    </row>
    <row r="35">
      <c r="A35" t="n">
        <v>80</v>
      </c>
      <c r="B35" t="inlineStr">
        <is>
          <t>Completo</t>
        </is>
      </c>
      <c r="C35" t="inlineStr">
        <is>
          <t>Sensibilidad por duration</t>
        </is>
      </c>
      <c r="D35">
        <f>IF(Completos!$D$196="","Pendiente",Completos!$D$196)</f>
        <v/>
      </c>
      <c r="E35" s="4" t="inlineStr">
        <is>
          <t>Ir al ej. 80</t>
        </is>
      </c>
    </row>
    <row r="36">
      <c r="A36" t="n">
        <v>81</v>
      </c>
      <c r="B36" t="inlineStr">
        <is>
          <t>Completo</t>
        </is>
      </c>
      <c r="C36" t="inlineStr">
        <is>
          <t>Sensibilidad con convexidad</t>
        </is>
      </c>
      <c r="D36">
        <f>IF(Completos!$D$217="","Pendiente",Completos!$D$217)</f>
        <v/>
      </c>
      <c r="E36" s="4" t="inlineStr">
        <is>
          <t>Ir al ej. 81</t>
        </is>
      </c>
    </row>
    <row r="37">
      <c r="A37" t="n">
        <v>82</v>
      </c>
      <c r="B37" t="inlineStr">
        <is>
          <t>Completo</t>
        </is>
      </c>
      <c r="C37" t="inlineStr">
        <is>
          <t>Variación real de precio</t>
        </is>
      </c>
      <c r="D37">
        <f>IF(Completos!$D$238="","Pendiente",Completos!$D$238)</f>
        <v/>
      </c>
      <c r="E37" s="4" t="inlineStr">
        <is>
          <t>Ir al ej. 82</t>
        </is>
      </c>
    </row>
    <row r="38">
      <c r="A38" t="n">
        <v>83</v>
      </c>
      <c r="B38" t="inlineStr">
        <is>
          <t>Completo</t>
        </is>
      </c>
      <c r="C38" t="inlineStr">
        <is>
          <t>AL30 · TIR</t>
        </is>
      </c>
      <c r="D38">
        <f>IF(Completos!$D$259="","Pendiente",Completos!$D$259)</f>
        <v/>
      </c>
      <c r="E38" s="4" t="inlineStr">
        <is>
          <t>Ir al ej. 83</t>
        </is>
      </c>
    </row>
    <row r="39">
      <c r="A39" t="n">
        <v>84</v>
      </c>
      <c r="B39" t="inlineStr">
        <is>
          <t>Completo</t>
        </is>
      </c>
      <c r="C39" t="inlineStr">
        <is>
          <t>GD35 · TIR</t>
        </is>
      </c>
      <c r="D39">
        <f>IF(Completos!$D$280="","Pendiente",Completos!$D$280)</f>
        <v/>
      </c>
      <c r="E39" s="4" t="inlineStr">
        <is>
          <t>Ir al ej. 84</t>
        </is>
      </c>
    </row>
    <row r="40">
      <c r="A40" t="n">
        <v>85</v>
      </c>
      <c r="B40" t="inlineStr">
        <is>
          <t>Completo</t>
        </is>
      </c>
      <c r="C40" t="inlineStr">
        <is>
          <t>Precio con fechas</t>
        </is>
      </c>
      <c r="D40">
        <f>IF(Completos!$D$301="","Pendiente",Completos!$D$301)</f>
        <v/>
      </c>
      <c r="E40" s="4" t="inlineStr">
        <is>
          <t>Ir al ej. 85</t>
        </is>
      </c>
    </row>
    <row r="41">
      <c r="A41" t="n">
        <v>86</v>
      </c>
      <c r="B41" t="inlineStr">
        <is>
          <t>Completo</t>
        </is>
      </c>
      <c r="C41" t="inlineStr">
        <is>
          <t>Duration con fechas</t>
        </is>
      </c>
      <c r="D41">
        <f>IF(Completos!$D$322="","Pendiente",Completos!$D$322)</f>
        <v/>
      </c>
      <c r="E41" s="4" t="inlineStr">
        <is>
          <t>Ir al ej. 86</t>
        </is>
      </c>
    </row>
    <row r="42">
      <c r="A42" t="n">
        <v>87</v>
      </c>
      <c r="B42" t="inlineStr">
        <is>
          <t>Completo</t>
        </is>
      </c>
      <c r="C42" t="inlineStr">
        <is>
          <t>Letra · TEM</t>
        </is>
      </c>
      <c r="D42">
        <f>IF(Completos!$D$343="","Pendiente",Completos!$D$343)</f>
        <v/>
      </c>
      <c r="E42" s="4" t="inlineStr">
        <is>
          <t>Ir al ej. 87</t>
        </is>
      </c>
    </row>
    <row r="43">
      <c r="A43" t="n">
        <v>88</v>
      </c>
      <c r="B43" t="inlineStr">
        <is>
          <t>Completo</t>
        </is>
      </c>
      <c r="C43" t="inlineStr">
        <is>
          <t>ON trimestral amortizable · TEA</t>
        </is>
      </c>
      <c r="D43">
        <f>IF(Completos!$D$364="","Pendiente",Completos!$D$364)</f>
        <v/>
      </c>
      <c r="E43" s="4" t="inlineStr">
        <is>
          <t>Ir al ej. 88</t>
        </is>
      </c>
    </row>
    <row r="44">
      <c r="A44" t="n">
        <v>89</v>
      </c>
      <c r="B44" t="inlineStr">
        <is>
          <t>Completo</t>
        </is>
      </c>
      <c r="C44" t="inlineStr">
        <is>
          <t>Paridad de un amortizable</t>
        </is>
      </c>
      <c r="D44">
        <f>IF(Completos!$D$385="","Pendiente",Completos!$D$385)</f>
        <v/>
      </c>
      <c r="E44" s="4" t="inlineStr">
        <is>
          <t>Ir al ej. 89</t>
        </is>
      </c>
    </row>
    <row r="45">
      <c r="A45" t="n">
        <v>90</v>
      </c>
      <c r="B45" t="inlineStr">
        <is>
          <t>Completo</t>
        </is>
      </c>
      <c r="C45" t="inlineStr">
        <is>
          <t>Monto con comisiones</t>
        </is>
      </c>
      <c r="D45">
        <f>IF(Completos!$D$406="","Pendiente",Completos!$D$406)</f>
        <v/>
      </c>
      <c r="E45" s="4" t="inlineStr">
        <is>
          <t>Ir al ej. 90</t>
        </is>
      </c>
    </row>
    <row r="46">
      <c r="A46" t="n">
        <v>91</v>
      </c>
      <c r="B46" t="inlineStr">
        <is>
          <t>Completo</t>
        </is>
      </c>
      <c r="C46" t="inlineStr">
        <is>
          <t>Duration de cartera</t>
        </is>
      </c>
      <c r="D46">
        <f>IF(Completos!$D$427="","Pendiente",Completos!$D$427)</f>
        <v/>
      </c>
      <c r="E46" s="4" t="inlineStr">
        <is>
          <t>Ir al ej. 91</t>
        </is>
      </c>
    </row>
    <row r="47">
      <c r="A47" t="n">
        <v>92</v>
      </c>
      <c r="B47" t="inlineStr">
        <is>
          <t>Completo</t>
        </is>
      </c>
      <c r="C47" t="inlineStr">
        <is>
          <t>Step-up · TIR</t>
        </is>
      </c>
      <c r="D47">
        <f>IF(Completos!$D$448="","Pendiente",Completos!$D$448)</f>
        <v/>
      </c>
      <c r="E47" s="4" t="inlineStr">
        <is>
          <t>Ir al ej. 92</t>
        </is>
      </c>
    </row>
    <row r="48">
      <c r="A48" t="n">
        <v>93</v>
      </c>
      <c r="B48" t="inlineStr">
        <is>
          <t>Completo</t>
        </is>
      </c>
      <c r="C48" t="inlineStr">
        <is>
          <t>DM de un amortizable</t>
        </is>
      </c>
      <c r="D48">
        <f>IF(Completos!$D$469="","Pendiente",Completos!$D$469)</f>
        <v/>
      </c>
      <c r="E48" s="4" t="inlineStr">
        <is>
          <t>Ir al ej. 93</t>
        </is>
      </c>
    </row>
    <row r="49">
      <c r="A49" t="n">
        <v>94</v>
      </c>
      <c r="B49" t="inlineStr">
        <is>
          <t>Completo</t>
        </is>
      </c>
      <c r="C49" t="inlineStr">
        <is>
          <t>Amortizable · precio para una TIR</t>
        </is>
      </c>
      <c r="D49">
        <f>IF(Completos!$D$490="","Pendiente",Completos!$D$490)</f>
        <v/>
      </c>
      <c r="E49" s="4" t="inlineStr">
        <is>
          <t>Ir al ej. 94</t>
        </is>
      </c>
    </row>
    <row r="50">
      <c r="A50" t="n">
        <v>95</v>
      </c>
      <c r="B50" t="inlineStr">
        <is>
          <t>Completo</t>
        </is>
      </c>
      <c r="C50" t="inlineStr">
        <is>
          <t>Error de la duration</t>
        </is>
      </c>
      <c r="D50">
        <f>IF(Completos!$D$511="","Pendiente",Completos!$D$511)</f>
        <v/>
      </c>
      <c r="E50" s="4" t="inlineStr">
        <is>
          <t>Ir al ej. 95</t>
        </is>
      </c>
    </row>
    <row r="51">
      <c r="A51" t="n">
        <v>96</v>
      </c>
      <c r="B51" t="inlineStr">
        <is>
          <t>Completo</t>
        </is>
      </c>
      <c r="C51" t="inlineStr">
        <is>
          <t>TIR entre fechas de pago</t>
        </is>
      </c>
      <c r="D51">
        <f>IF(Completos!$D$532="","Pendiente",Completos!$D$532)</f>
        <v/>
      </c>
      <c r="E51" s="4" t="inlineStr">
        <is>
          <t>Ir al ej. 96</t>
        </is>
      </c>
    </row>
    <row r="52">
      <c r="A52" t="n">
        <v>97</v>
      </c>
      <c r="B52" t="inlineStr">
        <is>
          <t>Completo</t>
        </is>
      </c>
      <c r="C52" t="inlineStr">
        <is>
          <t>TIR con precio limpio</t>
        </is>
      </c>
      <c r="D52">
        <f>IF(Completos!$D$553="","Pendiente",Completos!$D$553)</f>
        <v/>
      </c>
      <c r="E52" s="4" t="inlineStr">
        <is>
          <t>Ir al ej. 97</t>
        </is>
      </c>
    </row>
    <row r="53">
      <c r="A53" t="n">
        <v>98</v>
      </c>
      <c r="B53" t="inlineStr">
        <is>
          <t>Completo</t>
        </is>
      </c>
      <c r="C53" t="inlineStr">
        <is>
          <t>AL30 · duration</t>
        </is>
      </c>
      <c r="D53">
        <f>IF(Completos!$D$574="","Pendiente",Completos!$D$574)</f>
        <v/>
      </c>
      <c r="E53" s="4" t="inlineStr">
        <is>
          <t>Ir al ej. 98</t>
        </is>
      </c>
    </row>
    <row r="54">
      <c r="A54" t="n">
        <v>99</v>
      </c>
      <c r="B54" t="inlineStr">
        <is>
          <t>Completo</t>
        </is>
      </c>
      <c r="C54" t="inlineStr">
        <is>
          <t>AE38 · PPV</t>
        </is>
      </c>
      <c r="D54">
        <f>IF(Completos!$D$595="","Pendiente",Completos!$D$595)</f>
        <v/>
      </c>
      <c r="E54" s="4" t="inlineStr">
        <is>
          <t>Ir al ej. 99</t>
        </is>
      </c>
    </row>
    <row r="55">
      <c r="A55" t="n">
        <v>100</v>
      </c>
      <c r="B55" t="inlineStr">
        <is>
          <t>Completo</t>
        </is>
      </c>
      <c r="C55" t="inlineStr">
        <is>
          <t>GD41 · precio</t>
        </is>
      </c>
      <c r="D55">
        <f>IF(Completos!$D$616="","Pendiente",Completos!$D$616)</f>
        <v/>
      </c>
      <c r="E55" s="4" t="inlineStr">
        <is>
          <t>Ir al ej. 100</t>
        </is>
      </c>
    </row>
    <row r="57">
      <c r="C57" s="5" t="inlineStr">
        <is>
          <t>Correctos</t>
        </is>
      </c>
      <c r="D57">
        <f>COUNTIF(D6:D55,"✔*")</f>
        <v/>
      </c>
    </row>
    <row r="58">
      <c r="C58" s="5" t="inlineStr">
        <is>
          <t>Respondidos</t>
        </is>
      </c>
      <c r="D58">
        <f>COUNTIF(D6:D55,"✔*")+COUNTIF(D6:D55,"✘*")</f>
        <v/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6" t="inlineStr">
        <is>
          <t>Ejercicios rápidos (51 a 70)</t>
        </is>
      </c>
    </row>
    <row r="2">
      <c r="A2" s="2" t="inlineStr">
        <is>
          <t>Los datos y los flujos ya están cargados en azul. Resolvelos con fórmulas en la celda amarilla o en el espacio de al lado.</t>
        </is>
      </c>
    </row>
    <row r="3">
      <c r="A3" s="2" t="inlineStr">
        <is>
          <t>Cómo cargar la respuesta: tasas y variaciones como porcentaje (7,72%), precios, durations y montos como número (92,42).</t>
        </is>
      </c>
    </row>
    <row r="5">
      <c r="A5" s="3" t="inlineStr">
        <is>
          <t>Ejercicio 51</t>
        </is>
      </c>
      <c r="B5" s="3" t="inlineStr">
        <is>
          <t>Cupón cero · precio</t>
        </is>
      </c>
      <c r="C5" s="7" t="n"/>
      <c r="D5" s="7" t="n"/>
      <c r="E5" s="7" t="n"/>
      <c r="F5" s="7" t="n"/>
      <c r="G5" s="7" t="n"/>
      <c r="H5" s="7" t="n"/>
    </row>
    <row r="6" ht="36" customHeight="1">
      <c r="A6" s="8" t="inlineStr">
        <is>
          <t>Un bono cupón cero de VN 100 vence dentro de 3 años. La TIR efectiva anual de mercado es 11%. ¿Cuál es su precio?</t>
        </is>
      </c>
    </row>
    <row r="7">
      <c r="A7" t="inlineStr">
        <is>
          <t>Valor nominal</t>
        </is>
      </c>
      <c r="B7" s="9" t="n">
        <v>100</v>
      </c>
    </row>
    <row r="8">
      <c r="A8" t="inlineStr">
        <is>
          <t>Años al vencimiento</t>
        </is>
      </c>
      <c r="B8" s="9" t="n">
        <v>3</v>
      </c>
    </row>
    <row r="9">
      <c r="A9" t="inlineStr">
        <is>
          <t>TIR efectiva anual</t>
        </is>
      </c>
      <c r="B9" s="10" t="n">
        <v>0.11</v>
      </c>
    </row>
    <row r="10">
      <c r="A10" s="5" t="inlineStr">
        <is>
          <t>Tu respuesta</t>
        </is>
      </c>
      <c r="B10" s="11" t="n"/>
      <c r="D10" s="5">
        <f>IF(B10="","",IF(ABS(B10-Soluciones!$C$5)&lt;=MAX(0.003*ABS(Soluciones!$C$5),0.0001),"✔ Correcto","✘ Revisá"))</f>
        <v/>
      </c>
    </row>
    <row r="13">
      <c r="A13" s="3" t="inlineStr">
        <is>
          <t>Ejercicio 52</t>
        </is>
      </c>
      <c r="B13" s="3" t="inlineStr">
        <is>
          <t>Letra · TNA</t>
        </is>
      </c>
      <c r="C13" s="7" t="n"/>
      <c r="D13" s="7" t="n"/>
      <c r="E13" s="7" t="n"/>
      <c r="F13" s="7" t="n"/>
      <c r="G13" s="7" t="n"/>
      <c r="H13" s="7" t="n"/>
    </row>
    <row r="14" ht="36" customHeight="1">
      <c r="A14" s="8" t="inlineStr">
        <is>
          <t>Una letra que paga 100 al vencimiento, dentro de 75 días, cotiza a 95,80. ¿Qué TNA (interés simple, base 365) rinde?</t>
        </is>
      </c>
    </row>
    <row r="15">
      <c r="A15" t="inlineStr">
        <is>
          <t>Precio</t>
        </is>
      </c>
      <c r="B15" s="9" t="n">
        <v>95.8</v>
      </c>
    </row>
    <row r="16">
      <c r="A16" t="inlineStr">
        <is>
          <t>Valor al vencimiento</t>
        </is>
      </c>
      <c r="B16" s="9" t="n">
        <v>100</v>
      </c>
    </row>
    <row r="17">
      <c r="A17" t="inlineStr">
        <is>
          <t>Días</t>
        </is>
      </c>
      <c r="B17" s="9" t="n">
        <v>75</v>
      </c>
    </row>
    <row r="18">
      <c r="A18" s="5" t="inlineStr">
        <is>
          <t>Tu respuesta</t>
        </is>
      </c>
      <c r="B18" s="12" t="n"/>
      <c r="D18" s="5">
        <f>IF(B18="","",IF(ABS(B18-Soluciones!$C$11)&lt;=MAX(0.003*ABS(Soluciones!$C$11),0.0001),"✔ Correcto","✘ Revisá"))</f>
        <v/>
      </c>
    </row>
    <row r="21">
      <c r="A21" s="3" t="inlineStr">
        <is>
          <t>Ejercicio 53</t>
        </is>
      </c>
      <c r="B21" s="3" t="inlineStr">
        <is>
          <t>TNA → TEA</t>
        </is>
      </c>
      <c r="C21" s="7" t="n"/>
      <c r="D21" s="7" t="n"/>
      <c r="E21" s="7" t="n"/>
      <c r="F21" s="7" t="n"/>
      <c r="G21" s="7" t="n"/>
      <c r="H21" s="7" t="n"/>
    </row>
    <row r="22" ht="36" customHeight="1">
      <c r="A22" s="8" t="inlineStr">
        <is>
          <t>Un plazo fijo paga una TNA de 36% con capitalización cada 30 días. ¿Cuál es la TEA si renovás capital e intereses todo el año?</t>
        </is>
      </c>
    </row>
    <row r="23">
      <c r="A23" t="inlineStr">
        <is>
          <t>TNA</t>
        </is>
      </c>
      <c r="B23" s="10" t="n">
        <v>0.36</v>
      </c>
    </row>
    <row r="24">
      <c r="A24" t="inlineStr">
        <is>
          <t>Días del período</t>
        </is>
      </c>
      <c r="B24" s="9" t="n">
        <v>30</v>
      </c>
    </row>
    <row r="25">
      <c r="A25" s="5" t="inlineStr">
        <is>
          <t>Tu respuesta</t>
        </is>
      </c>
      <c r="B25" s="12" t="n"/>
      <c r="D25" s="5">
        <f>IF(B25="","",IF(ABS(B25-Soluciones!$C$17)&lt;=MAX(0.003*ABS(Soluciones!$C$17),0.0001),"✔ Correcto","✘ Revisá"))</f>
        <v/>
      </c>
    </row>
    <row r="28">
      <c r="A28" s="3" t="inlineStr">
        <is>
          <t>Ejercicio 54</t>
        </is>
      </c>
      <c r="B28" s="3" t="inlineStr">
        <is>
          <t>TEA → TEM</t>
        </is>
      </c>
      <c r="C28" s="7" t="n"/>
      <c r="D28" s="7" t="n"/>
      <c r="E28" s="7" t="n"/>
      <c r="F28" s="7" t="n"/>
      <c r="G28" s="7" t="n"/>
      <c r="H28" s="7" t="n"/>
    </row>
    <row r="29" ht="20" customHeight="1">
      <c r="A29" s="8" t="inlineStr">
        <is>
          <t>Una inversión rinde una TEA de 45%. ¿Cuál es la tasa efectiva equivalente para 30 días?</t>
        </is>
      </c>
    </row>
    <row r="30">
      <c r="A30" t="inlineStr">
        <is>
          <t>TEA</t>
        </is>
      </c>
      <c r="B30" s="10" t="n">
        <v>0.45</v>
      </c>
    </row>
    <row r="31">
      <c r="A31" t="inlineStr">
        <is>
          <t>Días</t>
        </is>
      </c>
      <c r="B31" s="9" t="n">
        <v>30</v>
      </c>
    </row>
    <row r="32">
      <c r="A32" s="5" t="inlineStr">
        <is>
          <t>Tu respuesta</t>
        </is>
      </c>
      <c r="B32" s="12" t="n"/>
      <c r="D32" s="5">
        <f>IF(B32="","",IF(ABS(B32-Soluciones!$C$23)&lt;=MAX(0.003*ABS(Soluciones!$C$23),0.0001),"✔ Correcto","✘ Revisá"))</f>
        <v/>
      </c>
    </row>
    <row r="35">
      <c r="A35" s="3" t="inlineStr">
        <is>
          <t>Ejercicio 55</t>
        </is>
      </c>
      <c r="B35" s="3" t="inlineStr">
        <is>
          <t>Bullet anual · TIR</t>
        </is>
      </c>
      <c r="C35" s="7" t="n"/>
      <c r="D35" s="7" t="n"/>
      <c r="E35" s="7" t="n"/>
      <c r="F35" s="7" t="n"/>
      <c r="G35" s="7" t="n"/>
      <c r="H35" s="7" t="n"/>
    </row>
    <row r="36" ht="36" customHeight="1">
      <c r="A36" s="8" t="inlineStr">
        <is>
          <t>Pagás 92 por un bono que te paga 6 por año durante 4 años y devuelve 100 con el último cupón. ¿Cuál es la TIR efectiva anual?</t>
        </is>
      </c>
    </row>
    <row r="37">
      <c r="A37" s="5" t="inlineStr">
        <is>
          <t>Año</t>
        </is>
      </c>
      <c r="B37" s="9" t="n">
        <v>0</v>
      </c>
      <c r="C37" s="9" t="n">
        <v>1</v>
      </c>
      <c r="D37" s="9" t="n">
        <v>2</v>
      </c>
      <c r="E37" s="9" t="n">
        <v>3</v>
      </c>
      <c r="F37" s="9" t="n">
        <v>4</v>
      </c>
    </row>
    <row r="38">
      <c r="A38" s="5" t="inlineStr">
        <is>
          <t>Flujo</t>
        </is>
      </c>
      <c r="B38" s="9" t="n">
        <v>-92</v>
      </c>
      <c r="C38" s="9" t="n">
        <v>6</v>
      </c>
      <c r="D38" s="9" t="n">
        <v>6</v>
      </c>
      <c r="E38" s="9" t="n">
        <v>6</v>
      </c>
      <c r="F38" s="9" t="n">
        <v>106</v>
      </c>
    </row>
    <row r="39">
      <c r="A39" s="5" t="inlineStr">
        <is>
          <t>Tu respuesta</t>
        </is>
      </c>
      <c r="B39" s="12" t="n"/>
      <c r="D39" s="5">
        <f>IF(B39="","",IF(ABS(B39-Soluciones!$C$29)&lt;=MAX(0.003*ABS(Soluciones!$C$29),0.0001),"✔ Correcto","✘ Revisá"))</f>
        <v/>
      </c>
    </row>
    <row r="42">
      <c r="A42" s="3" t="inlineStr">
        <is>
          <t>Ejercicio 56</t>
        </is>
      </c>
      <c r="B42" s="3" t="inlineStr">
        <is>
          <t>Semestral · TIR → TEA</t>
        </is>
      </c>
      <c r="C42" s="7" t="n"/>
      <c r="D42" s="7" t="n"/>
      <c r="E42" s="7" t="n"/>
      <c r="F42" s="7" t="n"/>
      <c r="G42" s="7" t="n"/>
      <c r="H42" s="7" t="n"/>
    </row>
    <row r="43" ht="36" customHeight="1">
      <c r="A43" s="8" t="inlineStr">
        <is>
          <t>Un bono paga 4 por semestre durante 3 semestres y 104 en el cuarto. Cotiza 97. ¿Cuál es su TIR efectiva anual?</t>
        </is>
      </c>
    </row>
    <row r="44">
      <c r="A44" s="5" t="inlineStr">
        <is>
          <t>Año</t>
        </is>
      </c>
      <c r="B44" s="9" t="n">
        <v>0</v>
      </c>
      <c r="C44" s="9" t="n">
        <v>1</v>
      </c>
      <c r="D44" s="9" t="n">
        <v>2</v>
      </c>
      <c r="E44" s="9" t="n">
        <v>3</v>
      </c>
      <c r="F44" s="9" t="n">
        <v>4</v>
      </c>
    </row>
    <row r="45">
      <c r="A45" s="5" t="inlineStr">
        <is>
          <t>Flujo</t>
        </is>
      </c>
      <c r="B45" s="9" t="n">
        <v>-97</v>
      </c>
      <c r="C45" s="9" t="n">
        <v>4</v>
      </c>
      <c r="D45" s="9" t="n">
        <v>4</v>
      </c>
      <c r="E45" s="9" t="n">
        <v>4</v>
      </c>
      <c r="F45" s="9" t="n">
        <v>104</v>
      </c>
    </row>
    <row r="46">
      <c r="A46" s="5" t="inlineStr">
        <is>
          <t>Tu respuesta</t>
        </is>
      </c>
      <c r="B46" s="12" t="n"/>
      <c r="D46" s="5">
        <f>IF(B46="","",IF(ABS(B46-Soluciones!$C$35)&lt;=MAX(0.003*ABS(Soluciones!$C$35),0.0001),"✔ Correcto","✘ Revisá"))</f>
        <v/>
      </c>
    </row>
    <row r="49">
      <c r="A49" s="3" t="inlineStr">
        <is>
          <t>Ejercicio 57</t>
        </is>
      </c>
      <c r="B49" s="3" t="inlineStr">
        <is>
          <t>Current yield</t>
        </is>
      </c>
      <c r="C49" s="7" t="n"/>
      <c r="D49" s="7" t="n"/>
      <c r="E49" s="7" t="n"/>
      <c r="F49" s="7" t="n"/>
      <c r="G49" s="7" t="n"/>
      <c r="H49" s="7" t="n"/>
    </row>
    <row r="50" ht="20" customHeight="1">
      <c r="A50" s="8" t="inlineStr">
        <is>
          <t>Un bono paga un cupón anual de 7,5% sobre VN 100 y cotiza a 88. ¿Cuál es su current yield?</t>
        </is>
      </c>
    </row>
    <row r="51">
      <c r="A51" t="inlineStr">
        <is>
          <t>Cupón anual (por 100 VN)</t>
        </is>
      </c>
      <c r="B51" s="9" t="n">
        <v>7.5</v>
      </c>
    </row>
    <row r="52">
      <c r="A52" t="inlineStr">
        <is>
          <t>Precio</t>
        </is>
      </c>
      <c r="B52" s="9" t="n">
        <v>88</v>
      </c>
    </row>
    <row r="53">
      <c r="A53" s="5" t="inlineStr">
        <is>
          <t>Tu respuesta</t>
        </is>
      </c>
      <c r="B53" s="12" t="n"/>
      <c r="D53" s="5">
        <f>IF(B53="","",IF(ABS(B53-Soluciones!$C$41)&lt;=MAX(0.003*ABS(Soluciones!$C$41),0.0001),"✔ Correcto","✘ Revisá"))</f>
        <v/>
      </c>
    </row>
    <row r="56">
      <c r="A56" s="3" t="inlineStr">
        <is>
          <t>Ejercicio 58</t>
        </is>
      </c>
      <c r="B56" s="3" t="inlineStr">
        <is>
          <t>Paridad</t>
        </is>
      </c>
      <c r="C56" s="7" t="n"/>
      <c r="D56" s="7" t="n"/>
      <c r="E56" s="7" t="n"/>
      <c r="F56" s="7" t="n"/>
      <c r="G56" s="7" t="n"/>
      <c r="H56" s="7" t="n"/>
    </row>
    <row r="57" ht="36" customHeight="1">
      <c r="A57" s="8" t="inlineStr">
        <is>
          <t>Un bono tiene valor residual 60 e intereses corridos 1,20 por cada 100 de VN original. Cotiza 55,40. ¿Cuál es su paridad?</t>
        </is>
      </c>
    </row>
    <row r="58">
      <c r="A58" t="inlineStr">
        <is>
          <t>Valor residual</t>
        </is>
      </c>
      <c r="B58" s="9" t="n">
        <v>60</v>
      </c>
    </row>
    <row r="59">
      <c r="A59" t="inlineStr">
        <is>
          <t>Intereses corridos</t>
        </is>
      </c>
      <c r="B59" s="9" t="n">
        <v>1.2</v>
      </c>
    </row>
    <row r="60">
      <c r="A60" t="inlineStr">
        <is>
          <t>Precio</t>
        </is>
      </c>
      <c r="B60" s="9" t="n">
        <v>55.4</v>
      </c>
    </row>
    <row r="61">
      <c r="A61" s="5" t="inlineStr">
        <is>
          <t>Tu respuesta</t>
        </is>
      </c>
      <c r="B61" s="12" t="n"/>
      <c r="D61" s="5">
        <f>IF(B61="","",IF(ABS(B61-Soluciones!$C$47)&lt;=MAX(0.003*ABS(Soluciones!$C$47),0.0001),"✔ Correcto","✘ Revisá"))</f>
        <v/>
      </c>
    </row>
    <row r="64">
      <c r="A64" s="3" t="inlineStr">
        <is>
          <t>Ejercicio 59</t>
        </is>
      </c>
      <c r="B64" s="3" t="inlineStr">
        <is>
          <t>Valor técnico</t>
        </is>
      </c>
      <c r="C64" s="7" t="n"/>
      <c r="D64" s="7" t="n"/>
      <c r="E64" s="7" t="n"/>
      <c r="F64" s="7" t="n"/>
      <c r="G64" s="7" t="n"/>
      <c r="H64" s="7" t="n"/>
    </row>
    <row r="65" ht="36" customHeight="1">
      <c r="A65" s="8" t="inlineStr">
        <is>
          <t>Un bono con valor residual 80 paga cupón de 6% anual sobre saldo. Pasaron 73 días desde el último pago. ¿Cuál es su valor técnico (intereses corridos en base actual/365)?</t>
        </is>
      </c>
    </row>
    <row r="66">
      <c r="A66" t="inlineStr">
        <is>
          <t>Valor residual</t>
        </is>
      </c>
      <c r="B66" s="9" t="n">
        <v>80</v>
      </c>
    </row>
    <row r="67">
      <c r="A67" t="inlineStr">
        <is>
          <t>Cupón anual</t>
        </is>
      </c>
      <c r="B67" s="10" t="n">
        <v>0.06</v>
      </c>
    </row>
    <row r="68">
      <c r="A68" t="inlineStr">
        <is>
          <t>Días corridos</t>
        </is>
      </c>
      <c r="B68" s="9" t="n">
        <v>73</v>
      </c>
    </row>
    <row r="69">
      <c r="A69" s="5" t="inlineStr">
        <is>
          <t>Tu respuesta</t>
        </is>
      </c>
      <c r="B69" s="11" t="n"/>
      <c r="D69" s="5">
        <f>IF(B69="","",IF(ABS(B69-Soluciones!$C$53)&lt;=MAX(0.003*ABS(Soluciones!$C$53),0.0001),"✔ Correcto","✘ Revisá"))</f>
        <v/>
      </c>
    </row>
    <row r="72">
      <c r="A72" s="3" t="inlineStr">
        <is>
          <t>Ejercicio 60</t>
        </is>
      </c>
      <c r="B72" s="3" t="inlineStr">
        <is>
          <t>Duration con flujos</t>
        </is>
      </c>
      <c r="C72" s="7" t="n"/>
      <c r="D72" s="7" t="n"/>
      <c r="E72" s="7" t="n"/>
      <c r="F72" s="7" t="n"/>
      <c r="G72" s="7" t="n"/>
      <c r="H72" s="7" t="n"/>
    </row>
    <row r="73" ht="36" customHeight="1">
      <c r="A73" s="8" t="inlineStr">
        <is>
          <t>Un bono paga 8, 8, 8 y 108 al final de los años 1 a 4. Con una TIR efectiva anual de 10%, ¿cuál es su duration (Macaulay, en años)?</t>
        </is>
      </c>
    </row>
    <row r="74">
      <c r="A74" t="inlineStr">
        <is>
          <t>TIR efectiva anual</t>
        </is>
      </c>
      <c r="B74" s="10" t="n">
        <v>0.1</v>
      </c>
    </row>
    <row r="75">
      <c r="A75" s="5" t="inlineStr">
        <is>
          <t>Año</t>
        </is>
      </c>
      <c r="B75" s="9" t="n">
        <v>1</v>
      </c>
      <c r="C75" s="9" t="n">
        <v>2</v>
      </c>
      <c r="D75" s="9" t="n">
        <v>3</v>
      </c>
      <c r="E75" s="9" t="n">
        <v>4</v>
      </c>
    </row>
    <row r="76">
      <c r="A76" s="5" t="inlineStr">
        <is>
          <t>Flujo</t>
        </is>
      </c>
      <c r="B76" s="9" t="n">
        <v>8</v>
      </c>
      <c r="C76" s="9" t="n">
        <v>8</v>
      </c>
      <c r="D76" s="9" t="n">
        <v>8</v>
      </c>
      <c r="E76" s="9" t="n">
        <v>108</v>
      </c>
    </row>
    <row r="77">
      <c r="A77" s="5" t="inlineStr">
        <is>
          <t>Tu respuesta</t>
        </is>
      </c>
      <c r="B77" s="11" t="n"/>
      <c r="D77" s="5">
        <f>IF(B77="","",IF(ABS(B77-Soluciones!$C$59)&lt;=MAX(0.003*ABS(Soluciones!$C$59),0.0001),"✔ Correcto","✘ Revisá"))</f>
        <v/>
      </c>
    </row>
    <row r="80">
      <c r="A80" s="3" t="inlineStr">
        <is>
          <t>Ejercicio 61</t>
        </is>
      </c>
      <c r="B80" s="3" t="inlineStr">
        <is>
          <t>Duration modificada</t>
        </is>
      </c>
      <c r="C80" s="7" t="n"/>
      <c r="D80" s="7" t="n"/>
      <c r="E80" s="7" t="n"/>
      <c r="F80" s="7" t="n"/>
      <c r="G80" s="7" t="n"/>
      <c r="H80" s="7" t="n"/>
    </row>
    <row r="81" ht="36" customHeight="1">
      <c r="A81" s="8" t="inlineStr">
        <is>
          <t>Un bono tiene una duration de 4,35 años y una TIR de 9% nominal anual capitalizable semestralmente. ¿Cuál es su duration modificada?</t>
        </is>
      </c>
    </row>
    <row r="82">
      <c r="A82" t="inlineStr">
        <is>
          <t>Duration</t>
        </is>
      </c>
      <c r="B82" s="9" t="n">
        <v>4.35</v>
      </c>
    </row>
    <row r="83">
      <c r="A83" t="inlineStr">
        <is>
          <t>TIR nominal anual</t>
        </is>
      </c>
      <c r="B83" s="10" t="n">
        <v>0.09</v>
      </c>
    </row>
    <row r="84">
      <c r="A84" t="inlineStr">
        <is>
          <t>Pagos por año (m)</t>
        </is>
      </c>
      <c r="B84" s="9" t="n">
        <v>2</v>
      </c>
    </row>
    <row r="85">
      <c r="A85" s="5" t="inlineStr">
        <is>
          <t>Tu respuesta</t>
        </is>
      </c>
      <c r="B85" s="11" t="n"/>
      <c r="D85" s="5">
        <f>IF(B85="","",IF(ABS(B85-Soluciones!$C$65)&lt;=MAX(0.003*ABS(Soluciones!$C$65),0.0001),"✔ Correcto","✘ Revisá"))</f>
        <v/>
      </c>
    </row>
    <row r="88">
      <c r="A88" s="3" t="inlineStr">
        <is>
          <t>Ejercicio 62</t>
        </is>
      </c>
      <c r="B88" s="3" t="inlineStr">
        <is>
          <t>Variación de precio con DM</t>
        </is>
      </c>
      <c r="C88" s="7" t="n"/>
      <c r="D88" s="7" t="n"/>
      <c r="E88" s="7" t="n"/>
      <c r="F88" s="7" t="n"/>
      <c r="G88" s="7" t="n"/>
      <c r="H88" s="7" t="n"/>
    </row>
    <row r="89" ht="36" customHeight="1">
      <c r="A89" s="8" t="inlineStr">
        <is>
          <t>Un bono tiene duration modificada 5,2. Si su TIR sube 120 puntos básicos, ¿cuánto varía su precio (aproximación por duration)?</t>
        </is>
      </c>
    </row>
    <row r="90">
      <c r="A90" t="inlineStr">
        <is>
          <t>Duration modificada</t>
        </is>
      </c>
      <c r="B90" s="9" t="n">
        <v>5.2</v>
      </c>
    </row>
    <row r="91">
      <c r="A91" t="inlineStr">
        <is>
          <t>Cambio de TIR (decimal)</t>
        </is>
      </c>
      <c r="B91" s="10" t="n">
        <v>0.012</v>
      </c>
    </row>
    <row r="92">
      <c r="A92" s="5" t="inlineStr">
        <is>
          <t>Tu respuesta</t>
        </is>
      </c>
      <c r="B92" s="12" t="n"/>
      <c r="D92" s="5">
        <f>IF(B92="","",IF(ABS(B92-Soluciones!$C$71)&lt;=MAX(0.003*ABS(Soluciones!$C$71),0.0001),"✔ Correcto","✘ Revisá"))</f>
        <v/>
      </c>
    </row>
    <row r="95">
      <c r="A95" s="3" t="inlineStr">
        <is>
          <t>Ejercicio 63</t>
        </is>
      </c>
      <c r="B95" s="3" t="inlineStr">
        <is>
          <t>DM + convexidad</t>
        </is>
      </c>
      <c r="C95" s="7" t="n"/>
      <c r="D95" s="7" t="n"/>
      <c r="E95" s="7" t="n"/>
      <c r="F95" s="7" t="n"/>
      <c r="G95" s="7" t="n"/>
      <c r="H95" s="7" t="n"/>
    </row>
    <row r="96" ht="36" customHeight="1">
      <c r="A96" s="8" t="inlineStr">
        <is>
          <t>Un bono tiene duration modificada 7,1 y convexidad 62. Si su TIR baja 150 puntos básicos, ¿cuánto varía su precio usando duration y convexidad?</t>
        </is>
      </c>
    </row>
    <row r="97">
      <c r="A97" t="inlineStr">
        <is>
          <t>Duration modificada</t>
        </is>
      </c>
      <c r="B97" s="9" t="n">
        <v>7.1</v>
      </c>
    </row>
    <row r="98">
      <c r="A98" t="inlineStr">
        <is>
          <t>Convexidad</t>
        </is>
      </c>
      <c r="B98" s="9" t="n">
        <v>62</v>
      </c>
    </row>
    <row r="99">
      <c r="A99" t="inlineStr">
        <is>
          <t>Cambio de TIR (decimal)</t>
        </is>
      </c>
      <c r="B99" s="10" t="n">
        <v>-0.015</v>
      </c>
    </row>
    <row r="100">
      <c r="A100" s="5" t="inlineStr">
        <is>
          <t>Tu respuesta</t>
        </is>
      </c>
      <c r="B100" s="12" t="n"/>
      <c r="D100" s="5">
        <f>IF(B100="","",IF(ABS(B100-Soluciones!$C$77)&lt;=MAX(0.003*ABS(Soluciones!$C$77),0.0001),"✔ Correcto","✘ Revisá"))</f>
        <v/>
      </c>
    </row>
    <row r="103">
      <c r="A103" s="3" t="inlineStr">
        <is>
          <t>Ejercicio 64</t>
        </is>
      </c>
      <c r="B103" s="3" t="inlineStr">
        <is>
          <t>Precio con flujos</t>
        </is>
      </c>
      <c r="C103" s="7" t="n"/>
      <c r="D103" s="7" t="n"/>
      <c r="E103" s="7" t="n"/>
      <c r="F103" s="7" t="n"/>
      <c r="G103" s="7" t="n"/>
      <c r="H103" s="7" t="n"/>
    </row>
    <row r="104" ht="36" customHeight="1">
      <c r="A104" s="8" t="inlineStr">
        <is>
          <t>Un bono paga 10 al final de los años 1 a 4 y 110 en el año 5. Con una TIR efectiva anual de 12%, ¿cuánto vale?</t>
        </is>
      </c>
    </row>
    <row r="105">
      <c r="A105" t="inlineStr">
        <is>
          <t>TIR efectiva anual</t>
        </is>
      </c>
      <c r="B105" s="10" t="n">
        <v>0.12</v>
      </c>
    </row>
    <row r="106">
      <c r="A106" s="5" t="inlineStr">
        <is>
          <t>Año</t>
        </is>
      </c>
      <c r="B106" s="9" t="n">
        <v>1</v>
      </c>
      <c r="C106" s="9" t="n">
        <v>2</v>
      </c>
      <c r="D106" s="9" t="n">
        <v>3</v>
      </c>
      <c r="E106" s="9" t="n">
        <v>4</v>
      </c>
      <c r="F106" s="9" t="n">
        <v>5</v>
      </c>
    </row>
    <row r="107">
      <c r="A107" s="5" t="inlineStr">
        <is>
          <t>Flujo</t>
        </is>
      </c>
      <c r="B107" s="9" t="n">
        <v>10</v>
      </c>
      <c r="C107" s="9" t="n">
        <v>10</v>
      </c>
      <c r="D107" s="9" t="n">
        <v>10</v>
      </c>
      <c r="E107" s="9" t="n">
        <v>10</v>
      </c>
      <c r="F107" s="9" t="n">
        <v>110</v>
      </c>
    </row>
    <row r="108">
      <c r="A108" s="5" t="inlineStr">
        <is>
          <t>Tu respuesta</t>
        </is>
      </c>
      <c r="B108" s="11" t="n"/>
      <c r="D108" s="5">
        <f>IF(B108="","",IF(ABS(B108-Soluciones!$C$83)&lt;=MAX(0.003*ABS(Soluciones!$C$83),0.0001),"✔ Correcto","✘ Revisá"))</f>
        <v/>
      </c>
    </row>
    <row r="111">
      <c r="A111" s="3" t="inlineStr">
        <is>
          <t>Ejercicio 65</t>
        </is>
      </c>
      <c r="B111" s="3" t="inlineStr">
        <is>
          <t>PPV con flujos</t>
        </is>
      </c>
      <c r="C111" s="7" t="n"/>
      <c r="D111" s="7" t="n"/>
      <c r="E111" s="7" t="n"/>
      <c r="F111" s="7" t="n"/>
      <c r="G111" s="7" t="n"/>
      <c r="H111" s="7" t="n"/>
    </row>
    <row r="112" ht="36" customHeight="1">
      <c r="A112" s="8" t="inlineStr">
        <is>
          <t>Un bono amortiza 25 por año y paga intereses sobre saldo: los flujos de los años 1 a 4 son 33, 31, 29 y 27. ¿Cuál es su promedio ponderado de vida (PPV) según la fórmula Σ t·(A+R) / Σ (A+R)?</t>
        </is>
      </c>
    </row>
    <row r="113">
      <c r="A113" s="5" t="inlineStr">
        <is>
          <t>Año</t>
        </is>
      </c>
      <c r="B113" s="9" t="n">
        <v>1</v>
      </c>
      <c r="C113" s="9" t="n">
        <v>2</v>
      </c>
      <c r="D113" s="9" t="n">
        <v>3</v>
      </c>
      <c r="E113" s="9" t="n">
        <v>4</v>
      </c>
    </row>
    <row r="114">
      <c r="A114" s="5" t="inlineStr">
        <is>
          <t>Flujo</t>
        </is>
      </c>
      <c r="B114" s="9" t="n">
        <v>33</v>
      </c>
      <c r="C114" s="9" t="n">
        <v>31</v>
      </c>
      <c r="D114" s="9" t="n">
        <v>29</v>
      </c>
      <c r="E114" s="9" t="n">
        <v>27</v>
      </c>
    </row>
    <row r="115">
      <c r="A115" s="5" t="inlineStr">
        <is>
          <t>Tu respuesta</t>
        </is>
      </c>
      <c r="B115" s="11" t="n"/>
      <c r="D115" s="5">
        <f>IF(B115="","",IF(ABS(B115-Soluciones!$C$89)&lt;=MAX(0.003*ABS(Soluciones!$C$89),0.0001),"✔ Correcto","✘ Revisá"))</f>
        <v/>
      </c>
    </row>
    <row r="118">
      <c r="A118" s="3" t="inlineStr">
        <is>
          <t>Ejercicio 66</t>
        </is>
      </c>
      <c r="B118" s="3" t="inlineStr">
        <is>
          <t>Duration de cartera</t>
        </is>
      </c>
      <c r="C118" s="7" t="n"/>
      <c r="D118" s="7" t="n"/>
      <c r="E118" s="7" t="n"/>
      <c r="F118" s="7" t="n"/>
      <c r="G118" s="7" t="n"/>
      <c r="H118" s="7" t="n"/>
    </row>
    <row r="119" ht="36" customHeight="1">
      <c r="A119" s="8" t="inlineStr">
        <is>
          <t>Una cartera tiene 40% en un bono de duration 2,1; 35% en uno de duration 4,8 y 25% en uno de duration 7,3. ¿Cuál es la duration de la cartera?</t>
        </is>
      </c>
    </row>
    <row r="120">
      <c r="A120" t="inlineStr">
        <is>
          <t>Peso A</t>
        </is>
      </c>
      <c r="B120" s="10" t="n">
        <v>0.4</v>
      </c>
    </row>
    <row r="121">
      <c r="A121" t="inlineStr">
        <is>
          <t>Duration A</t>
        </is>
      </c>
      <c r="B121" s="9" t="n">
        <v>2.1</v>
      </c>
    </row>
    <row r="122">
      <c r="A122" t="inlineStr">
        <is>
          <t>Peso B</t>
        </is>
      </c>
      <c r="B122" s="10" t="n">
        <v>0.35</v>
      </c>
    </row>
    <row r="123">
      <c r="A123" t="inlineStr">
        <is>
          <t>Duration B</t>
        </is>
      </c>
      <c r="B123" s="9" t="n">
        <v>4.8</v>
      </c>
    </row>
    <row r="124">
      <c r="A124" t="inlineStr">
        <is>
          <t>Peso C</t>
        </is>
      </c>
      <c r="B124" s="10" t="n">
        <v>0.25</v>
      </c>
    </row>
    <row r="125">
      <c r="A125" t="inlineStr">
        <is>
          <t>Duration C</t>
        </is>
      </c>
      <c r="B125" s="9" t="n">
        <v>7.3</v>
      </c>
    </row>
    <row r="126">
      <c r="A126" s="5" t="inlineStr">
        <is>
          <t>Tu respuesta</t>
        </is>
      </c>
      <c r="B126" s="11" t="n"/>
      <c r="D126" s="5">
        <f>IF(B126="","",IF(ABS(B126-Soluciones!$C$95)&lt;=MAX(0.003*ABS(Soluciones!$C$95),0.0001),"✔ Correcto","✘ Revisá"))</f>
        <v/>
      </c>
    </row>
    <row r="129">
      <c r="A129" s="3" t="inlineStr">
        <is>
          <t>Ejercicio 67</t>
        </is>
      </c>
      <c r="B129" s="3" t="inlineStr">
        <is>
          <t>TIR.NO.PER</t>
        </is>
      </c>
      <c r="C129" s="7" t="n"/>
      <c r="D129" s="7" t="n"/>
      <c r="E129" s="7" t="n"/>
      <c r="F129" s="7" t="n"/>
      <c r="G129" s="7" t="n"/>
      <c r="H129" s="7" t="n"/>
    </row>
    <row r="130" ht="36" customHeight="1">
      <c r="A130" s="8" t="inlineStr">
        <is>
          <t>Comprás un bono el 15/01/2027 a 95 y cobrás 3 el 15/07/2027, 3 el 15/01/2028 y 103 el 15/07/2028. ¿Cuál es la TIR efectiva anual (TIR.NO.PER)?</t>
        </is>
      </c>
    </row>
    <row r="131">
      <c r="A131" s="5" t="inlineStr">
        <is>
          <t>Fecha</t>
        </is>
      </c>
      <c r="B131" s="13" t="n">
        <v>46402</v>
      </c>
      <c r="C131" s="13" t="n">
        <v>46583</v>
      </c>
      <c r="D131" s="13" t="n">
        <v>46767</v>
      </c>
      <c r="E131" s="13" t="n">
        <v>46949</v>
      </c>
    </row>
    <row r="132">
      <c r="A132" s="5" t="inlineStr">
        <is>
          <t>Flujo</t>
        </is>
      </c>
      <c r="B132" s="9" t="n">
        <v>-95</v>
      </c>
      <c r="C132" s="9" t="n">
        <v>3</v>
      </c>
      <c r="D132" s="9" t="n">
        <v>3</v>
      </c>
      <c r="E132" s="9" t="n">
        <v>103</v>
      </c>
    </row>
    <row r="133">
      <c r="A133" s="5" t="inlineStr">
        <is>
          <t>Tu respuesta</t>
        </is>
      </c>
      <c r="B133" s="12" t="n"/>
      <c r="D133" s="5">
        <f>IF(B133="","",IF(ABS(B133-Soluciones!$C$101)&lt;=MAX(0.003*ABS(Soluciones!$C$101),0.0001),"✔ Correcto","✘ Revisá"))</f>
        <v/>
      </c>
    </row>
    <row r="136">
      <c r="A136" s="3" t="inlineStr">
        <is>
          <t>Ejercicio 68</t>
        </is>
      </c>
      <c r="B136" s="3" t="inlineStr">
        <is>
          <t>Monto a invertir</t>
        </is>
      </c>
      <c r="C136" s="7" t="n"/>
      <c r="D136" s="7" t="n"/>
      <c r="E136" s="7" t="n"/>
      <c r="F136" s="7" t="n"/>
      <c r="G136" s="7" t="n"/>
      <c r="H136" s="7" t="n"/>
    </row>
    <row r="137" ht="36" customHeight="1">
      <c r="A137" s="8" t="inlineStr">
        <is>
          <t>Querés comprar VN 40.000 de un bono que cotiza 72,35 por cada 100 de VN. La comisión total es 0,6% sobre el monto. ¿Cuánto pagás en total?</t>
        </is>
      </c>
    </row>
    <row r="138">
      <c r="A138" t="inlineStr">
        <is>
          <t>Precio (por 100 VN)</t>
        </is>
      </c>
      <c r="B138" s="9" t="n">
        <v>72.34999999999999</v>
      </c>
    </row>
    <row r="139">
      <c r="A139" t="inlineStr">
        <is>
          <t>Valor nominal</t>
        </is>
      </c>
      <c r="B139" s="9" t="n">
        <v>40000</v>
      </c>
    </row>
    <row r="140">
      <c r="A140" t="inlineStr">
        <is>
          <t>Comisión</t>
        </is>
      </c>
      <c r="B140" s="10" t="n">
        <v>0.006</v>
      </c>
    </row>
    <row r="141">
      <c r="A141" s="5" t="inlineStr">
        <is>
          <t>Tu respuesta</t>
        </is>
      </c>
      <c r="B141" s="11" t="n"/>
      <c r="D141" s="5">
        <f>IF(B141="","",IF(ABS(B141-Soluciones!$C$107)&lt;=MAX(0.003*ABS(Soluciones!$C$107),0.0001),"✔ Correcto","✘ Revisá"))</f>
        <v/>
      </c>
    </row>
    <row r="144">
      <c r="A144" s="3" t="inlineStr">
        <is>
          <t>Ejercicio 69</t>
        </is>
      </c>
      <c r="B144" s="3" t="inlineStr">
        <is>
          <t>Caución</t>
        </is>
      </c>
      <c r="C144" s="7" t="n"/>
      <c r="D144" s="7" t="n"/>
      <c r="E144" s="7" t="n"/>
      <c r="F144" s="7" t="n"/>
      <c r="G144" s="7" t="n"/>
      <c r="H144" s="7" t="n"/>
    </row>
    <row r="145" ht="36" customHeight="1">
      <c r="A145" s="8" t="inlineStr">
        <is>
          <t>Colocás $2.000.000 en una caución a 7 días a una TNA de 31% (interés simple, base 365). ¿Cuánto cobrás al vencimiento?</t>
        </is>
      </c>
    </row>
    <row r="146">
      <c r="A146" t="inlineStr">
        <is>
          <t>Capital</t>
        </is>
      </c>
      <c r="B146" s="9" t="n">
        <v>2000000</v>
      </c>
    </row>
    <row r="147">
      <c r="A147" t="inlineStr">
        <is>
          <t>TNA</t>
        </is>
      </c>
      <c r="B147" s="10" t="n">
        <v>0.31</v>
      </c>
    </row>
    <row r="148">
      <c r="A148" t="inlineStr">
        <is>
          <t>Días</t>
        </is>
      </c>
      <c r="B148" s="9" t="n">
        <v>7</v>
      </c>
    </row>
    <row r="149">
      <c r="A149" s="5" t="inlineStr">
        <is>
          <t>Tu respuesta</t>
        </is>
      </c>
      <c r="B149" s="11" t="n"/>
      <c r="D149" s="5">
        <f>IF(B149="","",IF(ABS(B149-Soluciones!$C$113)&lt;=MAX(0.003*ABS(Soluciones!$C$113),0.0001),"✔ Correcto","✘ Revisá"))</f>
        <v/>
      </c>
    </row>
    <row r="152">
      <c r="A152" s="3" t="inlineStr">
        <is>
          <t>Ejercicio 70</t>
        </is>
      </c>
      <c r="B152" s="3" t="inlineStr">
        <is>
          <t>TIR nominal → TEA</t>
        </is>
      </c>
      <c r="C152" s="7" t="n"/>
      <c r="D152" s="7" t="n"/>
      <c r="E152" s="7" t="n"/>
      <c r="F152" s="7" t="n"/>
      <c r="G152" s="7" t="n"/>
      <c r="H152" s="7" t="n"/>
    </row>
    <row r="153" ht="20" customHeight="1">
      <c r="A153" s="8" t="inlineStr">
        <is>
          <t>Un bono tiene una TIR de 10% nominal anual capitalizable trimestralmente. ¿Cuál es su TIR efectiva anual?</t>
        </is>
      </c>
    </row>
    <row r="154">
      <c r="A154" t="inlineStr">
        <is>
          <t>TIR nominal anual</t>
        </is>
      </c>
      <c r="B154" s="10" t="n">
        <v>0.1</v>
      </c>
    </row>
    <row r="155">
      <c r="A155" t="inlineStr">
        <is>
          <t>Capitalizaciones por año</t>
        </is>
      </c>
      <c r="B155" s="9" t="n">
        <v>4</v>
      </c>
    </row>
    <row r="156">
      <c r="A156" s="5" t="inlineStr">
        <is>
          <t>Tu respuesta</t>
        </is>
      </c>
      <c r="B156" s="12" t="n"/>
      <c r="D156" s="5">
        <f>IF(B156="","",IF(ABS(B156-Soluciones!$C$119)&lt;=MAX(0.003*ABS(Soluciones!$C$119),0.0001),"✔ Correcto","✘ Revisá"))</f>
        <v/>
      </c>
    </row>
  </sheetData>
  <mergeCells count="20">
    <mergeCell ref="A130:H130"/>
    <mergeCell ref="A73:H73"/>
    <mergeCell ref="A36:H36"/>
    <mergeCell ref="A119:H119"/>
    <mergeCell ref="A6:H6"/>
    <mergeCell ref="A153:H153"/>
    <mergeCell ref="A65:H65"/>
    <mergeCell ref="A137:H137"/>
    <mergeCell ref="A89:H89"/>
    <mergeCell ref="A50:H50"/>
    <mergeCell ref="A145:H145"/>
    <mergeCell ref="A57:H57"/>
    <mergeCell ref="A104:H104"/>
    <mergeCell ref="A14:H14"/>
    <mergeCell ref="A22:H22"/>
    <mergeCell ref="A29:H29"/>
    <mergeCell ref="A43:H43"/>
    <mergeCell ref="A81:H81"/>
    <mergeCell ref="A96:H96"/>
    <mergeCell ref="A112:H1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6" t="inlineStr">
        <is>
          <t>Ejercicios completos (71 a 100)</t>
        </is>
      </c>
    </row>
    <row r="2">
      <c r="A2" s="2" t="inlineStr">
        <is>
          <t>Solo la consigna. Armá vos el flujo de fondos en el espacio de abajo de cada uno y calculá lo que se pide.</t>
        </is>
      </c>
    </row>
    <row r="3">
      <c r="A3" s="2" t="inlineStr">
        <is>
          <t>Cómo cargar la respuesta: tasas y variaciones como porcentaje (7,72%), precios, durations y montos como número (92,42).</t>
        </is>
      </c>
    </row>
    <row r="5">
      <c r="A5" s="3" t="inlineStr">
        <is>
          <t>Ejercicio 71</t>
        </is>
      </c>
      <c r="B5" s="3" t="inlineStr">
        <is>
          <t>Bullet anual · TIR</t>
        </is>
      </c>
      <c r="C5" s="7" t="n"/>
      <c r="D5" s="7" t="n"/>
      <c r="E5" s="7" t="n"/>
      <c r="F5" s="7" t="n"/>
      <c r="G5" s="7" t="n"/>
      <c r="H5" s="7" t="n"/>
    </row>
    <row r="6" ht="36" customHeight="1">
      <c r="A6" s="8" t="inlineStr">
        <is>
          <t>Un bono de VN 100 vence dentro de 4 años, paga un cupón de 7% anual al final de cada año y devuelve todo el capital al vencimiento. Cotiza a 96,50. Calculá su TIR efectiva anual.</t>
        </is>
      </c>
    </row>
    <row r="7">
      <c r="A7" s="5" t="inlineStr">
        <is>
          <t>Tu respuesta</t>
        </is>
      </c>
      <c r="B7" s="12" t="n"/>
      <c r="D7" s="5">
        <f>IF(B7="","",IF(ABS(B7-Soluciones!$C$125)&lt;=MAX(0.003*ABS(Soluciones!$C$125),0.0001),"✔ Correcto","✘ Revisá"))</f>
        <v/>
      </c>
    </row>
    <row r="8">
      <c r="A8" s="14" t="inlineStr">
        <is>
          <t>Tu espacio de trabajo</t>
        </is>
      </c>
      <c r="B8" s="15" t="n"/>
      <c r="C8" s="15" t="n"/>
      <c r="D8" s="15" t="n"/>
      <c r="E8" s="15" t="n"/>
      <c r="F8" s="15" t="n"/>
      <c r="G8" s="15" t="n"/>
      <c r="H8" s="15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6">
      <c r="A26" s="3" t="inlineStr">
        <is>
          <t>Ejercicio 72</t>
        </is>
      </c>
      <c r="B26" s="3" t="inlineStr">
        <is>
          <t>Bullet semestral · TEA</t>
        </is>
      </c>
      <c r="C26" s="7" t="n"/>
      <c r="D26" s="7" t="n"/>
      <c r="E26" s="7" t="n"/>
      <c r="F26" s="7" t="n"/>
      <c r="G26" s="7" t="n"/>
      <c r="H26" s="7" t="n"/>
    </row>
    <row r="27" ht="36" customHeight="1">
      <c r="A27" s="8" t="inlineStr">
        <is>
          <t>Una obligación negociable de VN 100 vence dentro de 3 años, paga un cupón de 9% nominal anual en pagos semestrales y amortiza todo al vencimiento. Cotiza a 101,20. Calculá su TIR efectiva anual.</t>
        </is>
      </c>
    </row>
    <row r="28">
      <c r="A28" s="5" t="inlineStr">
        <is>
          <t>Tu respuesta</t>
        </is>
      </c>
      <c r="B28" s="12" t="n"/>
      <c r="D28" s="5">
        <f>IF(B28="","",IF(ABS(B28-Soluciones!$C$145)&lt;=MAX(0.003*ABS(Soluciones!$C$145),0.0001),"✔ Correcto","✘ Revisá"))</f>
        <v/>
      </c>
    </row>
    <row r="29">
      <c r="A29" s="14" t="inlineStr">
        <is>
          <t>Tu espacio de trabajo</t>
        </is>
      </c>
      <c r="B29" s="15" t="n"/>
      <c r="C29" s="15" t="n"/>
      <c r="D29" s="15" t="n"/>
      <c r="E29" s="15" t="n"/>
      <c r="F29" s="15" t="n"/>
      <c r="G29" s="15" t="n"/>
      <c r="H29" s="15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7">
      <c r="A47" s="3" t="inlineStr">
        <is>
          <t>Ejercicio 73</t>
        </is>
      </c>
      <c r="B47" s="3" t="inlineStr">
        <is>
          <t>Bullet semestral · TIR nominal</t>
        </is>
      </c>
      <c r="C47" s="7" t="n"/>
      <c r="D47" s="7" t="n"/>
      <c r="E47" s="7" t="n"/>
      <c r="F47" s="7" t="n"/>
      <c r="G47" s="7" t="n"/>
      <c r="H47" s="7" t="n"/>
    </row>
    <row r="48" ht="52" customHeight="1">
      <c r="A48" s="8" t="inlineStr">
        <is>
          <t>Un bono de VN 100 vence dentro de 5 años, paga un cupón de 6% nominal anual en pagos semestrales y amortiza todo al vencimiento. Cotiza a 94. Calculá su TIR expresada como tasa nominal anual capitalizable semestralmente.</t>
        </is>
      </c>
    </row>
    <row r="49">
      <c r="A49" s="5" t="inlineStr">
        <is>
          <t>Tu respuesta</t>
        </is>
      </c>
      <c r="B49" s="12" t="n"/>
      <c r="D49" s="5">
        <f>IF(B49="","",IF(ABS(B49-Soluciones!$C$167)&lt;=MAX(0.003*ABS(Soluciones!$C$167),0.0001),"✔ Correcto","✘ Revisá"))</f>
        <v/>
      </c>
    </row>
    <row r="50">
      <c r="A50" s="14" t="inlineStr">
        <is>
          <t>Tu espacio de trabajo</t>
        </is>
      </c>
      <c r="B50" s="15" t="n"/>
      <c r="C50" s="15" t="n"/>
      <c r="D50" s="15" t="n"/>
      <c r="E50" s="15" t="n"/>
      <c r="F50" s="15" t="n"/>
      <c r="G50" s="15" t="n"/>
      <c r="H50" s="15" t="n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8">
      <c r="A68" s="3" t="inlineStr">
        <is>
          <t>Ejercicio 74</t>
        </is>
      </c>
      <c r="B68" s="3" t="inlineStr">
        <is>
          <t>Amortizable · precio</t>
        </is>
      </c>
      <c r="C68" s="7" t="n"/>
      <c r="D68" s="7" t="n"/>
      <c r="E68" s="7" t="n"/>
      <c r="F68" s="7" t="n"/>
      <c r="G68" s="7" t="n"/>
      <c r="H68" s="7" t="n"/>
    </row>
    <row r="69" ht="36" customHeight="1">
      <c r="A69" s="8" t="inlineStr">
        <is>
          <t>Un bono de VN 100 amortiza 25% del capital al final de cada uno de los próximos 4 años y paga un cupón de 8% anual sobre el saldo pendiente al inicio de cada año. ¿Cuánto vale si la TIR efectiva anual de mercado es 10%?</t>
        </is>
      </c>
    </row>
    <row r="70">
      <c r="A70" s="5" t="inlineStr">
        <is>
          <t>Tu respuesta</t>
        </is>
      </c>
      <c r="B70" s="11" t="n"/>
      <c r="D70" s="5">
        <f>IF(B70="","",IF(ABS(B70-Soluciones!$C$193)&lt;=MAX(0.003*ABS(Soluciones!$C$193),0.0001),"✔ Correcto","✘ Revisá"))</f>
        <v/>
      </c>
    </row>
    <row r="71">
      <c r="A71" s="14" t="inlineStr">
        <is>
          <t>Tu espacio de trabajo</t>
        </is>
      </c>
      <c r="B71" s="15" t="n"/>
      <c r="C71" s="15" t="n"/>
      <c r="D71" s="15" t="n"/>
      <c r="E71" s="15" t="n"/>
      <c r="F71" s="15" t="n"/>
      <c r="G71" s="15" t="n"/>
      <c r="H71" s="15" t="n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9">
      <c r="A89" s="3" t="inlineStr">
        <is>
          <t>Ejercicio 75</t>
        </is>
      </c>
      <c r="B89" s="3" t="inlineStr">
        <is>
          <t>Amortizable con gracia · TEA</t>
        </is>
      </c>
      <c r="C89" s="7" t="n"/>
      <c r="D89" s="7" t="n"/>
      <c r="E89" s="7" t="n"/>
      <c r="F89" s="7" t="n"/>
      <c r="G89" s="7" t="n"/>
      <c r="H89" s="7" t="n"/>
    </row>
    <row r="90" ht="52" customHeight="1">
      <c r="A90" s="8" t="inlineStr">
        <is>
          <t>Un bono de VN 100 vence dentro de 5 años. Paga cupón de 5% nominal anual en pagos semestrales sobre el saldo. Amortiza en 5 cuotas semestrales iguales, la primera a los 3 años (semestre 6) y la última al vencimiento. Cotiza a 88. Calculá su TIR efectiva anual.</t>
        </is>
      </c>
    </row>
    <row r="91">
      <c r="A91" s="5" t="inlineStr">
        <is>
          <t>Tu respuesta</t>
        </is>
      </c>
      <c r="B91" s="12" t="n"/>
      <c r="D91" s="5">
        <f>IF(B91="","",IF(ABS(B91-Soluciones!$C$213)&lt;=MAX(0.003*ABS(Soluciones!$C$213),0.0001),"✔ Correcto","✘ Revisá"))</f>
        <v/>
      </c>
    </row>
    <row r="92">
      <c r="A92" s="14" t="inlineStr">
        <is>
          <t>Tu espacio de trabajo</t>
        </is>
      </c>
      <c r="B92" s="15" t="n"/>
      <c r="C92" s="15" t="n"/>
      <c r="D92" s="15" t="n"/>
      <c r="E92" s="15" t="n"/>
      <c r="F92" s="15" t="n"/>
      <c r="G92" s="15" t="n"/>
      <c r="H92" s="15" t="n"/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10">
      <c r="A110" s="3" t="inlineStr">
        <is>
          <t>Ejercicio 76</t>
        </is>
      </c>
      <c r="B110" s="3" t="inlineStr">
        <is>
          <t>Duration de un bullet</t>
        </is>
      </c>
      <c r="C110" s="7" t="n"/>
      <c r="D110" s="7" t="n"/>
      <c r="E110" s="7" t="n"/>
      <c r="F110" s="7" t="n"/>
      <c r="G110" s="7" t="n"/>
      <c r="H110" s="7" t="n"/>
    </row>
    <row r="111" ht="36" customHeight="1">
      <c r="A111" s="8" t="inlineStr">
        <is>
          <t>Un bono de VN 100 vence dentro de 5 años, paga un cupón de 6% anual al final de cada año y amortiza todo al vencimiento. Con una TIR efectiva anual de 8%, calculá su duration (Macaulay, en años).</t>
        </is>
      </c>
    </row>
    <row r="112">
      <c r="A112" s="5" t="inlineStr">
        <is>
          <t>Tu respuesta</t>
        </is>
      </c>
      <c r="B112" s="11" t="n"/>
      <c r="D112" s="5">
        <f>IF(B112="","",IF(ABS(B112-Soluciones!$C$239)&lt;=MAX(0.003*ABS(Soluciones!$C$239),0.0001),"✔ Correcto","✘ Revisá"))</f>
        <v/>
      </c>
    </row>
    <row r="113">
      <c r="A113" s="14" t="inlineStr">
        <is>
          <t>Tu espacio de trabajo</t>
        </is>
      </c>
      <c r="B113" s="15" t="n"/>
      <c r="C113" s="15" t="n"/>
      <c r="D113" s="15" t="n"/>
      <c r="E113" s="15" t="n"/>
      <c r="F113" s="15" t="n"/>
      <c r="G113" s="15" t="n"/>
      <c r="H113" s="15" t="n"/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31">
      <c r="A131" s="3" t="inlineStr">
        <is>
          <t>Ejercicio 77</t>
        </is>
      </c>
      <c r="B131" s="3" t="inlineStr">
        <is>
          <t>Duration modificada semestral</t>
        </is>
      </c>
      <c r="C131" s="7" t="n"/>
      <c r="D131" s="7" t="n"/>
      <c r="E131" s="7" t="n"/>
      <c r="F131" s="7" t="n"/>
      <c r="G131" s="7" t="n"/>
      <c r="H131" s="7" t="n"/>
    </row>
    <row r="132" ht="36" customHeight="1">
      <c r="A132" s="8" t="inlineStr">
        <is>
          <t>Un bono de VN 100 vence dentro de 3 años, paga un cupón de 10% nominal anual en pagos semestrales y amortiza todo al vencimiento. Su TIR es 12% nominal anual capitalizable semestralmente. Calculá su duration modificada.</t>
        </is>
      </c>
    </row>
    <row r="133">
      <c r="A133" s="5" t="inlineStr">
        <is>
          <t>Tu respuesta</t>
        </is>
      </c>
      <c r="B133" s="11" t="n"/>
      <c r="D133" s="5">
        <f>IF(B133="","",IF(ABS(B133-Soluciones!$C$260)&lt;=MAX(0.003*ABS(Soluciones!$C$260),0.0001),"✔ Correcto","✘ Revisá"))</f>
        <v/>
      </c>
    </row>
    <row r="134">
      <c r="A134" s="14" t="inlineStr">
        <is>
          <t>Tu espacio de trabajo</t>
        </is>
      </c>
      <c r="B134" s="15" t="n"/>
      <c r="C134" s="15" t="n"/>
      <c r="D134" s="15" t="n"/>
      <c r="E134" s="15" t="n"/>
      <c r="F134" s="15" t="n"/>
      <c r="G134" s="15" t="n"/>
      <c r="H134" s="15" t="n"/>
    </row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2">
      <c r="A152" s="3" t="inlineStr">
        <is>
          <t>Ejercicio 78</t>
        </is>
      </c>
      <c r="B152" s="3" t="inlineStr">
        <is>
          <t>Convexidad</t>
        </is>
      </c>
      <c r="C152" s="7" t="n"/>
      <c r="D152" s="7" t="n"/>
      <c r="E152" s="7" t="n"/>
      <c r="F152" s="7" t="n"/>
      <c r="G152" s="7" t="n"/>
      <c r="H152" s="7" t="n"/>
    </row>
    <row r="153" ht="36" customHeight="1">
      <c r="A153" s="8" t="inlineStr">
        <is>
          <t>Un bono de VN 100 vence dentro de 4 años, paga un cupón de 5% anual al final de cada año y amortiza todo al vencimiento. Con una TIR efectiva anual de 9%, calculá su convexidad.</t>
        </is>
      </c>
    </row>
    <row r="154">
      <c r="A154" s="5" t="inlineStr">
        <is>
          <t>Tu respuesta</t>
        </is>
      </c>
      <c r="B154" s="11" t="n"/>
      <c r="D154" s="5">
        <f>IF(B154="","",IF(ABS(B154-Soluciones!$C$282)&lt;=MAX(0.003*ABS(Soluciones!$C$282),0.0001),"✔ Correcto","✘ Revisá"))</f>
        <v/>
      </c>
    </row>
    <row r="155">
      <c r="A155" s="14" t="inlineStr">
        <is>
          <t>Tu espacio de trabajo</t>
        </is>
      </c>
      <c r="B155" s="15" t="n"/>
      <c r="C155" s="15" t="n"/>
      <c r="D155" s="15" t="n"/>
      <c r="E155" s="15" t="n"/>
      <c r="F155" s="15" t="n"/>
      <c r="G155" s="15" t="n"/>
      <c r="H155" s="15" t="n"/>
    </row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3">
      <c r="A173" s="3" t="inlineStr">
        <is>
          <t>Ejercicio 79</t>
        </is>
      </c>
      <c r="B173" s="3" t="inlineStr">
        <is>
          <t>PPV de un amortizable</t>
        </is>
      </c>
      <c r="C173" s="7" t="n"/>
      <c r="D173" s="7" t="n"/>
      <c r="E173" s="7" t="n"/>
      <c r="F173" s="7" t="n"/>
      <c r="G173" s="7" t="n"/>
      <c r="H173" s="7" t="n"/>
    </row>
    <row r="174" ht="52" customHeight="1">
      <c r="A174" s="8" t="inlineStr">
        <is>
          <t>Un bono de VN 100 vence dentro de 6 años, paga un cupón de 6% anual sobre saldo al final de cada año y amortiza en 3 cuotas anuales iguales en los años 4, 5 y 6. Calculá su promedio ponderado de vida (PPV) según la fórmula del apunte.</t>
        </is>
      </c>
    </row>
    <row r="175">
      <c r="A175" s="5" t="inlineStr">
        <is>
          <t>Tu respuesta</t>
        </is>
      </c>
      <c r="B175" s="11" t="n"/>
      <c r="D175" s="5">
        <f>IF(B175="","",IF(ABS(B175-Soluciones!$C$302)&lt;=MAX(0.003*ABS(Soluciones!$C$302),0.0001),"✔ Correcto","✘ Revisá"))</f>
        <v/>
      </c>
    </row>
    <row r="176">
      <c r="A176" s="14" t="inlineStr">
        <is>
          <t>Tu espacio de trabajo</t>
        </is>
      </c>
      <c r="B176" s="15" t="n"/>
      <c r="C176" s="15" t="n"/>
      <c r="D176" s="15" t="n"/>
      <c r="E176" s="15" t="n"/>
      <c r="F176" s="15" t="n"/>
      <c r="G176" s="15" t="n"/>
      <c r="H176" s="15" t="n"/>
    </row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4">
      <c r="A194" s="3" t="inlineStr">
        <is>
          <t>Ejercicio 80</t>
        </is>
      </c>
      <c r="B194" s="3" t="inlineStr">
        <is>
          <t>Sensibilidad por duration</t>
        </is>
      </c>
      <c r="C194" s="7" t="n"/>
      <c r="D194" s="7" t="n"/>
      <c r="E194" s="7" t="n"/>
      <c r="F194" s="7" t="n"/>
      <c r="G194" s="7" t="n"/>
      <c r="H194" s="7" t="n"/>
    </row>
    <row r="195" ht="52" customHeight="1">
      <c r="A195" s="8" t="inlineStr">
        <is>
          <t>Un bono de VN 100 vence dentro de 6 años, paga un cupón de 7% anual al final de cada año y amortiza todo al vencimiento. Hoy su TIR efectiva anual es 9%. Si la TIR sube a 10,5%, ¿cuánto varía su precio según la aproximación por duration modificada?</t>
        </is>
      </c>
    </row>
    <row r="196">
      <c r="A196" s="5" t="inlineStr">
        <is>
          <t>Tu respuesta</t>
        </is>
      </c>
      <c r="B196" s="12" t="n"/>
      <c r="D196" s="5">
        <f>IF(B196="","",IF(ABS(B196-Soluciones!$C$324)&lt;=MAX(0.003*ABS(Soluciones!$C$324),0.0001),"✔ Correcto","✘ Revisá"))</f>
        <v/>
      </c>
    </row>
    <row r="197">
      <c r="A197" s="14" t="inlineStr">
        <is>
          <t>Tu espacio de trabajo</t>
        </is>
      </c>
      <c r="B197" s="15" t="n"/>
      <c r="C197" s="15" t="n"/>
      <c r="D197" s="15" t="n"/>
      <c r="E197" s="15" t="n"/>
      <c r="F197" s="15" t="n"/>
      <c r="G197" s="15" t="n"/>
      <c r="H197" s="15" t="n"/>
    </row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5">
      <c r="A215" s="3" t="inlineStr">
        <is>
          <t>Ejercicio 81</t>
        </is>
      </c>
      <c r="B215" s="3" t="inlineStr">
        <is>
          <t>Sensibilidad con convexidad</t>
        </is>
      </c>
      <c r="C215" s="7" t="n"/>
      <c r="D215" s="7" t="n"/>
      <c r="E215" s="7" t="n"/>
      <c r="F215" s="7" t="n"/>
      <c r="G215" s="7" t="n"/>
      <c r="H215" s="7" t="n"/>
    </row>
    <row r="216" ht="52" customHeight="1">
      <c r="A216" s="8" t="inlineStr">
        <is>
          <t>Un bono de VN 100 vence dentro de 8 años, paga un cupón de 4% anual al final de cada año y amortiza todo al vencimiento. Hoy su TIR efectiva anual es 7%. Si la TIR baja a 5%, ¿cuánto varía su precio según la aproximación por duration modificada y convexidad?</t>
        </is>
      </c>
    </row>
    <row r="217">
      <c r="A217" s="5" t="inlineStr">
        <is>
          <t>Tu respuesta</t>
        </is>
      </c>
      <c r="B217" s="12" t="n"/>
      <c r="D217" s="5">
        <f>IF(B217="","",IF(ABS(B217-Soluciones!$C$346)&lt;=MAX(0.003*ABS(Soluciones!$C$346),0.0001),"✔ Correcto","✘ Revisá"))</f>
        <v/>
      </c>
    </row>
    <row r="218">
      <c r="A218" s="14" t="inlineStr">
        <is>
          <t>Tu espacio de trabajo</t>
        </is>
      </c>
      <c r="B218" s="15" t="n"/>
      <c r="C218" s="15" t="n"/>
      <c r="D218" s="15" t="n"/>
      <c r="E218" s="15" t="n"/>
      <c r="F218" s="15" t="n"/>
      <c r="G218" s="15" t="n"/>
      <c r="H218" s="15" t="n"/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6">
      <c r="A236" s="3" t="inlineStr">
        <is>
          <t>Ejercicio 82</t>
        </is>
      </c>
      <c r="B236" s="3" t="inlineStr">
        <is>
          <t>Variación real de precio</t>
        </is>
      </c>
      <c r="C236" s="7" t="n"/>
      <c r="D236" s="7" t="n"/>
      <c r="E236" s="7" t="n"/>
      <c r="F236" s="7" t="n"/>
      <c r="G236" s="7" t="n"/>
      <c r="H236" s="7" t="n"/>
    </row>
    <row r="237" ht="36" customHeight="1">
      <c r="A237" s="8" t="inlineStr">
        <is>
          <t>Un bono cupón cero de VN 100 vence dentro de 7 años. Su TIR efectiva anual pasa de 9% a 11%. ¿Cuál es la variación porcentual real de su precio?</t>
        </is>
      </c>
    </row>
    <row r="238">
      <c r="A238" s="5" t="inlineStr">
        <is>
          <t>Tu respuesta</t>
        </is>
      </c>
      <c r="B238" s="12" t="n"/>
      <c r="D238" s="5">
        <f>IF(B238="","",IF(ABS(B238-Soluciones!$C$370)&lt;=MAX(0.003*ABS(Soluciones!$C$370),0.0001),"✔ Correcto","✘ Revisá"))</f>
        <v/>
      </c>
    </row>
    <row r="239">
      <c r="A239" s="14" t="inlineStr">
        <is>
          <t>Tu espacio de trabajo</t>
        </is>
      </c>
      <c r="B239" s="15" t="n"/>
      <c r="C239" s="15" t="n"/>
      <c r="D239" s="15" t="n"/>
      <c r="E239" s="15" t="n"/>
      <c r="F239" s="15" t="n"/>
      <c r="G239" s="15" t="n"/>
      <c r="H239" s="15" t="n"/>
    </row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7">
      <c r="A257" s="3" t="inlineStr">
        <is>
          <t>Ejercicio 83</t>
        </is>
      </c>
      <c r="B257" s="3" t="inlineStr">
        <is>
          <t>AL30 · TIR</t>
        </is>
      </c>
      <c r="C257" s="7" t="n"/>
      <c r="D257" s="7" t="n"/>
      <c r="E257" s="7" t="n"/>
      <c r="F257" s="7" t="n"/>
      <c r="G257" s="7" t="n"/>
      <c r="H257" s="7" t="n"/>
    </row>
    <row r="258" ht="84" customHeight="1">
      <c r="A258" s="8" t="inlineStr">
        <is>
          <t>El AL30 amortiza 4% de su VN original el 09/07/2024 y 8% en cada fecha de pago siguiente (9 de enero y 9 de julio) hasta el 09/07/2030. Paga cupón semestral sobre el saldo, a una tasa de 0,75% anual hasta el pago del 09/07/2027 inclusive y de 1,75% anual desde ahí (cada cupón = tasa anual / 2 × saldo al inicio del semestre). El 09/01/2027, ya cobrado el pago de ese día, lo comprás a 49,50 por cada 100 de VN original. Calculá la TIR efectiva anual (TIR.NO.PER).</t>
        </is>
      </c>
    </row>
    <row r="259">
      <c r="A259" s="5" t="inlineStr">
        <is>
          <t>Tu respuesta</t>
        </is>
      </c>
      <c r="B259" s="12" t="n"/>
      <c r="D259" s="5">
        <f>IF(B259="","",IF(ABS(B259-Soluciones!$C$393)&lt;=MAX(0.003*ABS(Soluciones!$C$393),0.0001),"✔ Correcto","✘ Revisá"))</f>
        <v/>
      </c>
    </row>
    <row r="260">
      <c r="A260" s="14" t="inlineStr">
        <is>
          <t>Tu espacio de trabajo</t>
        </is>
      </c>
      <c r="B260" s="15" t="n"/>
      <c r="C260" s="15" t="n"/>
      <c r="D260" s="15" t="n"/>
      <c r="E260" s="15" t="n"/>
      <c r="F260" s="15" t="n"/>
      <c r="G260" s="15" t="n"/>
      <c r="H260" s="15" t="n"/>
    </row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8">
      <c r="A278" s="3" t="inlineStr">
        <is>
          <t>Ejercicio 84</t>
        </is>
      </c>
      <c r="B278" s="3" t="inlineStr">
        <is>
          <t>GD35 · TIR</t>
        </is>
      </c>
      <c r="C278" s="7" t="n"/>
      <c r="D278" s="7" t="n"/>
      <c r="E278" s="7" t="n"/>
      <c r="F278" s="7" t="n"/>
      <c r="G278" s="7" t="n"/>
      <c r="H278" s="7" t="n"/>
    </row>
    <row r="279" ht="68" customHeight="1">
      <c r="A279" s="8" t="inlineStr">
        <is>
          <t>El GD35 paga cupón semestral (9 de enero y 9 de julio) sobre el saldo, a una tasa de 5% anual desde el 09/07/2028 (cada cupón = tasa anual / 2 × saldo al inicio del semestre). Amortiza en 10 cuotas semestrales iguales, la primera el 09/01/2031 y la última el 09/07/2035. El 09/07/2028, ya cobrado el pago de ese día, cotiza a 70 por cada 100 de VN. Calculá la TIR efectiva anual (TIR.NO.PER).</t>
        </is>
      </c>
    </row>
    <row r="280">
      <c r="A280" s="5" t="inlineStr">
        <is>
          <t>Tu respuesta</t>
        </is>
      </c>
      <c r="B280" s="12" t="n"/>
      <c r="D280" s="5">
        <f>IF(B280="","",IF(ABS(B280-Soluciones!$C$416)&lt;=MAX(0.003*ABS(Soluciones!$C$416),0.0001),"✔ Correcto","✘ Revisá"))</f>
        <v/>
      </c>
    </row>
    <row r="281">
      <c r="A281" s="14" t="inlineStr">
        <is>
          <t>Tu espacio de trabajo</t>
        </is>
      </c>
      <c r="B281" s="15" t="n"/>
      <c r="C281" s="15" t="n"/>
      <c r="D281" s="15" t="n"/>
      <c r="E281" s="15" t="n"/>
      <c r="F281" s="15" t="n"/>
      <c r="G281" s="15" t="n"/>
      <c r="H281" s="15" t="n"/>
    </row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9">
      <c r="A299" s="3" t="inlineStr">
        <is>
          <t>Ejercicio 85</t>
        </is>
      </c>
      <c r="B299" s="3" t="inlineStr">
        <is>
          <t>Precio con fechas</t>
        </is>
      </c>
      <c r="C299" s="7" t="n"/>
      <c r="D299" s="7" t="n"/>
      <c r="E299" s="7" t="n"/>
      <c r="F299" s="7" t="n"/>
      <c r="G299" s="7" t="n"/>
      <c r="H299" s="7" t="n"/>
    </row>
    <row r="300" ht="52" customHeight="1">
      <c r="A300" s="8" t="inlineStr">
        <is>
          <t>Una obligación negociable de VN 100 paga un cupón de 8% nominal anual en pagos trimestrales iguales sobre el VN (15 de marzo, junio, septiembre y diciembre) y amortiza todo el 15/03/2028. El 15/12/2026, ya cobrado el cupón de ese día, ¿cuánto vale si la TIR efectiva anual de mercado es 11%? (Descontá con días/365.)</t>
        </is>
      </c>
    </row>
    <row r="301">
      <c r="A301" s="5" t="inlineStr">
        <is>
          <t>Tu respuesta</t>
        </is>
      </c>
      <c r="B301" s="11" t="n"/>
      <c r="D301" s="5">
        <f>IF(B301="","",IF(ABS(B301-Soluciones!$C$446)&lt;=MAX(0.003*ABS(Soluciones!$C$446),0.0001),"✔ Correcto","✘ Revisá"))</f>
        <v/>
      </c>
    </row>
    <row r="302">
      <c r="A302" s="14" t="inlineStr">
        <is>
          <t>Tu espacio de trabajo</t>
        </is>
      </c>
      <c r="B302" s="15" t="n"/>
      <c r="C302" s="15" t="n"/>
      <c r="D302" s="15" t="n"/>
      <c r="E302" s="15" t="n"/>
      <c r="F302" s="15" t="n"/>
      <c r="G302" s="15" t="n"/>
      <c r="H302" s="15" t="n"/>
    </row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20">
      <c r="A320" s="3" t="inlineStr">
        <is>
          <t>Ejercicio 86</t>
        </is>
      </c>
      <c r="B320" s="3" t="inlineStr">
        <is>
          <t>Duration con fechas</t>
        </is>
      </c>
      <c r="C320" s="7" t="n"/>
      <c r="D320" s="7" t="n"/>
      <c r="E320" s="7" t="n"/>
      <c r="F320" s="7" t="n"/>
      <c r="G320" s="7" t="n"/>
      <c r="H320" s="7" t="n"/>
    </row>
    <row r="321" ht="52" customHeight="1">
      <c r="A321" s="8" t="inlineStr">
        <is>
          <t>Un bono de VN 100 paga un cupón de 6% nominal anual en pagos semestrales iguales sobre el VN (1 de junio y 1 de diciembre) y amortiza todo el 01/12/2029. El 01/12/2026, ya cobrado el cupón de ese día, su TIR efectiva anual es 9%. Calculá su duration en años (días/365).</t>
        </is>
      </c>
    </row>
    <row r="322">
      <c r="A322" s="5" t="inlineStr">
        <is>
          <t>Tu respuesta</t>
        </is>
      </c>
      <c r="B322" s="11" t="n"/>
      <c r="D322" s="5">
        <f>IF(B322="","",IF(ABS(B322-Soluciones!$C$467)&lt;=MAX(0.003*ABS(Soluciones!$C$467),0.0001),"✔ Correcto","✘ Revisá"))</f>
        <v/>
      </c>
    </row>
    <row r="323">
      <c r="A323" s="14" t="inlineStr">
        <is>
          <t>Tu espacio de trabajo</t>
        </is>
      </c>
      <c r="B323" s="15" t="n"/>
      <c r="C323" s="15" t="n"/>
      <c r="D323" s="15" t="n"/>
      <c r="E323" s="15" t="n"/>
      <c r="F323" s="15" t="n"/>
      <c r="G323" s="15" t="n"/>
      <c r="H323" s="15" t="n"/>
    </row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41">
      <c r="A341" s="3" t="inlineStr">
        <is>
          <t>Ejercicio 87</t>
        </is>
      </c>
      <c r="B341" s="3" t="inlineStr">
        <is>
          <t>Letra · TEM</t>
        </is>
      </c>
      <c r="C341" s="7" t="n"/>
      <c r="D341" s="7" t="n"/>
      <c r="E341" s="7" t="n"/>
      <c r="F341" s="7" t="n"/>
      <c r="G341" s="7" t="n"/>
      <c r="H341" s="7" t="n"/>
    </row>
    <row r="342" ht="36" customHeight="1">
      <c r="A342" s="8" t="inlineStr">
        <is>
          <t>Comprás una letra a 104,10 que paga 112,40 al vencimiento, dentro de 120 días. ¿Cuál es su tasa efectiva mensual (30 días)?</t>
        </is>
      </c>
    </row>
    <row r="343">
      <c r="A343" s="5" t="inlineStr">
        <is>
          <t>Tu respuesta</t>
        </is>
      </c>
      <c r="B343" s="12" t="n"/>
      <c r="D343" s="5">
        <f>IF(B343="","",IF(ABS(B343-Soluciones!$C$489)&lt;=MAX(0.003*ABS(Soluciones!$C$489),0.0001),"✔ Correcto","✘ Revisá"))</f>
        <v/>
      </c>
    </row>
    <row r="344">
      <c r="A344" s="14" t="inlineStr">
        <is>
          <t>Tu espacio de trabajo</t>
        </is>
      </c>
      <c r="B344" s="15" t="n"/>
      <c r="C344" s="15" t="n"/>
      <c r="D344" s="15" t="n"/>
      <c r="E344" s="15" t="n"/>
      <c r="F344" s="15" t="n"/>
      <c r="G344" s="15" t="n"/>
      <c r="H344" s="15" t="n"/>
    </row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2">
      <c r="A362" s="3" t="inlineStr">
        <is>
          <t>Ejercicio 88</t>
        </is>
      </c>
      <c r="B362" s="3" t="inlineStr">
        <is>
          <t>ON trimestral amortizable · TEA</t>
        </is>
      </c>
      <c r="C362" s="7" t="n"/>
      <c r="D362" s="7" t="n"/>
      <c r="E362" s="7" t="n"/>
      <c r="F362" s="7" t="n"/>
      <c r="G362" s="7" t="n"/>
      <c r="H362" s="7" t="n"/>
    </row>
    <row r="363" ht="52" customHeight="1">
      <c r="A363" s="8" t="inlineStr">
        <is>
          <t>Una obligación negociable en dólares de VN 100 paga un cupón de 7% nominal anual en pagos trimestrales sobre el saldo. Amortiza 50% a los 2 años y el 50% restante a los 3 años, junto con el cupón de esas fechas. Cotiza a 99,30. Calculá su TIR efectiva anual.</t>
        </is>
      </c>
    </row>
    <row r="364">
      <c r="A364" s="5" t="inlineStr">
        <is>
          <t>Tu respuesta</t>
        </is>
      </c>
      <c r="B364" s="12" t="n"/>
      <c r="D364" s="5">
        <f>IF(B364="","",IF(ABS(B364-Soluciones!$C$506)&lt;=MAX(0.003*ABS(Soluciones!$C$506),0.0001),"✔ Correcto","✘ Revisá"))</f>
        <v/>
      </c>
    </row>
    <row r="365">
      <c r="A365" s="14" t="inlineStr">
        <is>
          <t>Tu espacio de trabajo</t>
        </is>
      </c>
      <c r="B365" s="15" t="n"/>
      <c r="C365" s="15" t="n"/>
      <c r="D365" s="15" t="n"/>
      <c r="E365" s="15" t="n"/>
      <c r="F365" s="15" t="n"/>
      <c r="G365" s="15" t="n"/>
      <c r="H365" s="15" t="n"/>
    </row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3">
      <c r="A383" s="3" t="inlineStr">
        <is>
          <t>Ejercicio 89</t>
        </is>
      </c>
      <c r="B383" s="3" t="inlineStr">
        <is>
          <t>Paridad de un amortizable</t>
        </is>
      </c>
      <c r="C383" s="7" t="n"/>
      <c r="D383" s="7" t="n"/>
      <c r="E383" s="7" t="n"/>
      <c r="F383" s="7" t="n"/>
      <c r="G383" s="7" t="n"/>
      <c r="H383" s="7" t="n"/>
    </row>
    <row r="384" ht="52" customHeight="1">
      <c r="A384" s="8" t="inlineStr">
        <is>
          <t>Una obligación negociable de VN original 100 ya amortizó el 40% de su capital. Paga cupón de 9% anual sobre el saldo, y pasaron 90 días desde el último pago de intereses (intereses corridos en base actual/365). Cotiza a 58,30 por cada 100 de VN original. Calculá su paridad.</t>
        </is>
      </c>
    </row>
    <row r="385">
      <c r="A385" s="5" t="inlineStr">
        <is>
          <t>Tu respuesta</t>
        </is>
      </c>
      <c r="B385" s="12" t="n"/>
      <c r="D385" s="5">
        <f>IF(B385="","",IF(ABS(B385-Soluciones!$C$534)&lt;=MAX(0.003*ABS(Soluciones!$C$534),0.0001),"✔ Correcto","✘ Revisá"))</f>
        <v/>
      </c>
    </row>
    <row r="386">
      <c r="A386" s="14" t="inlineStr">
        <is>
          <t>Tu espacio de trabajo</t>
        </is>
      </c>
      <c r="B386" s="15" t="n"/>
      <c r="C386" s="15" t="n"/>
      <c r="D386" s="15" t="n"/>
      <c r="E386" s="15" t="n"/>
      <c r="F386" s="15" t="n"/>
      <c r="G386" s="15" t="n"/>
      <c r="H386" s="15" t="n"/>
    </row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4">
      <c r="A404" s="3" t="inlineStr">
        <is>
          <t>Ejercicio 90</t>
        </is>
      </c>
      <c r="B404" s="3" t="inlineStr">
        <is>
          <t>Monto con comisiones</t>
        </is>
      </c>
      <c r="C404" s="7" t="n"/>
      <c r="D404" s="7" t="n"/>
      <c r="E404" s="7" t="n"/>
      <c r="F404" s="7" t="n"/>
      <c r="G404" s="7" t="n"/>
      <c r="H404" s="7" t="n"/>
    </row>
    <row r="405" ht="36" customHeight="1">
      <c r="A405" s="8" t="inlineStr">
        <is>
          <t>Vas a comprar VN 15.000 de un bono que cotiza a 84,75 por cada 100 de VN. Pagás una comisión de 0,5% y derechos de mercado de 0,01%, ambos sobre el monto bruto. ¿Cuánto pagás en total?</t>
        </is>
      </c>
    </row>
    <row r="406">
      <c r="A406" s="5" t="inlineStr">
        <is>
          <t>Tu respuesta</t>
        </is>
      </c>
      <c r="B406" s="11" t="n"/>
      <c r="D406" s="5">
        <f>IF(B406="","",IF(ABS(B406-Soluciones!$C$540)&lt;=MAX(0.003*ABS(Soluciones!$C$540),0.0001),"✔ Correcto","✘ Revisá"))</f>
        <v/>
      </c>
    </row>
    <row r="407">
      <c r="A407" s="14" t="inlineStr">
        <is>
          <t>Tu espacio de trabajo</t>
        </is>
      </c>
      <c r="B407" s="15" t="n"/>
      <c r="C407" s="15" t="n"/>
      <c r="D407" s="15" t="n"/>
      <c r="E407" s="15" t="n"/>
      <c r="F407" s="15" t="n"/>
      <c r="G407" s="15" t="n"/>
      <c r="H407" s="15" t="n"/>
    </row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5">
      <c r="A425" s="3" t="inlineStr">
        <is>
          <t>Ejercicio 91</t>
        </is>
      </c>
      <c r="B425" s="3" t="inlineStr">
        <is>
          <t>Duration de cartera</t>
        </is>
      </c>
      <c r="C425" s="7" t="n"/>
      <c r="D425" s="7" t="n"/>
      <c r="E425" s="7" t="n"/>
      <c r="F425" s="7" t="n"/>
      <c r="G425" s="7" t="n"/>
      <c r="H425" s="7" t="n"/>
    </row>
    <row r="426" ht="52" customHeight="1">
      <c r="A426" s="8" t="inlineStr">
        <is>
          <t>Tu cartera tiene 30% en un bono cupón cero que vence en 2 años, 30% en un bono bullet a 3 años con cupón de 8% anual y 40% en un bono bullet a 5 años con cupón de 6% anual. Todos rinden una TIR efectiva anual de 10% y pagan al final de cada año. Calculá la duration de la cartera.</t>
        </is>
      </c>
    </row>
    <row r="427">
      <c r="A427" s="5" t="inlineStr">
        <is>
          <t>Tu respuesta</t>
        </is>
      </c>
      <c r="B427" s="11" t="n"/>
      <c r="D427" s="5">
        <f>IF(B427="","",IF(ABS(B427-Soluciones!$C$546)&lt;=MAX(0.003*ABS(Soluciones!$C$546),0.0001),"✔ Correcto","✘ Revisá"))</f>
        <v/>
      </c>
    </row>
    <row r="428">
      <c r="A428" s="14" t="inlineStr">
        <is>
          <t>Tu espacio de trabajo</t>
        </is>
      </c>
      <c r="B428" s="15" t="n"/>
      <c r="C428" s="15" t="n"/>
      <c r="D428" s="15" t="n"/>
      <c r="E428" s="15" t="n"/>
      <c r="F428" s="15" t="n"/>
      <c r="G428" s="15" t="n"/>
      <c r="H428" s="15" t="n"/>
    </row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6">
      <c r="A446" s="3" t="inlineStr">
        <is>
          <t>Ejercicio 92</t>
        </is>
      </c>
      <c r="B446" s="3" t="inlineStr">
        <is>
          <t>Step-up · TIR</t>
        </is>
      </c>
      <c r="C446" s="7" t="n"/>
      <c r="D446" s="7" t="n"/>
      <c r="E446" s="7" t="n"/>
      <c r="F446" s="7" t="n"/>
      <c r="G446" s="7" t="n"/>
      <c r="H446" s="7" t="n"/>
    </row>
    <row r="447" ht="36" customHeight="1">
      <c r="A447" s="8" t="inlineStr">
        <is>
          <t>Un bono de VN 100 vence dentro de 4 años y amortiza todo al vencimiento. Paga cupón anual de 2% en los años 1 y 2 y de 5% en los años 3 y 4. Cotiza a 90. Calculá su TIR efectiva anual.</t>
        </is>
      </c>
    </row>
    <row r="448">
      <c r="A448" s="5" t="inlineStr">
        <is>
          <t>Tu respuesta</t>
        </is>
      </c>
      <c r="B448" s="12" t="n"/>
      <c r="D448" s="5">
        <f>IF(B448="","",IF(ABS(B448-Soluciones!$C$562)&lt;=MAX(0.003*ABS(Soluciones!$C$562),0.0001),"✔ Correcto","✘ Revisá"))</f>
        <v/>
      </c>
    </row>
    <row r="449">
      <c r="A449" s="14" t="inlineStr">
        <is>
          <t>Tu espacio de trabajo</t>
        </is>
      </c>
      <c r="B449" s="15" t="n"/>
      <c r="C449" s="15" t="n"/>
      <c r="D449" s="15" t="n"/>
      <c r="E449" s="15" t="n"/>
      <c r="F449" s="15" t="n"/>
      <c r="G449" s="15" t="n"/>
      <c r="H449" s="15" t="n"/>
    </row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7">
      <c r="A467" s="3" t="inlineStr">
        <is>
          <t>Ejercicio 93</t>
        </is>
      </c>
      <c r="B467" s="3" t="inlineStr">
        <is>
          <t>DM de un amortizable</t>
        </is>
      </c>
      <c r="C467" s="7" t="n"/>
      <c r="D467" s="7" t="n"/>
      <c r="E467" s="7" t="n"/>
      <c r="F467" s="7" t="n"/>
      <c r="G467" s="7" t="n"/>
      <c r="H467" s="7" t="n"/>
    </row>
    <row r="468" ht="36" customHeight="1">
      <c r="A468" s="8" t="inlineStr">
        <is>
          <t>Un bono de VN 100 amortiza 50% a los 3 años y 50% a los 5 años. Paga un cupón de 6% anual sobre el saldo al final de cada año. Con una TIR efectiva anual de 8%, calculá su duration modificada (DM = D / (1 + TIR)).</t>
        </is>
      </c>
    </row>
    <row r="469">
      <c r="A469" s="5" t="inlineStr">
        <is>
          <t>Tu respuesta</t>
        </is>
      </c>
      <c r="B469" s="11" t="n"/>
      <c r="D469" s="5">
        <f>IF(B469="","",IF(ABS(B469-Soluciones!$C$582)&lt;=MAX(0.003*ABS(Soluciones!$C$582),0.0001),"✔ Correcto","✘ Revisá"))</f>
        <v/>
      </c>
    </row>
    <row r="470">
      <c r="A470" s="14" t="inlineStr">
        <is>
          <t>Tu espacio de trabajo</t>
        </is>
      </c>
      <c r="B470" s="15" t="n"/>
      <c r="C470" s="15" t="n"/>
      <c r="D470" s="15" t="n"/>
      <c r="E470" s="15" t="n"/>
      <c r="F470" s="15" t="n"/>
      <c r="G470" s="15" t="n"/>
      <c r="H470" s="15" t="n"/>
    </row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8">
      <c r="A488" s="3" t="inlineStr">
        <is>
          <t>Ejercicio 94</t>
        </is>
      </c>
      <c r="B488" s="3" t="inlineStr">
        <is>
          <t>Amortizable · precio para una TIR</t>
        </is>
      </c>
      <c r="C488" s="7" t="n"/>
      <c r="D488" s="7" t="n"/>
      <c r="E488" s="7" t="n"/>
      <c r="F488" s="7" t="n"/>
      <c r="G488" s="7" t="n"/>
      <c r="H488" s="7" t="n"/>
    </row>
    <row r="489" ht="52" customHeight="1">
      <c r="A489" s="8" t="inlineStr">
        <is>
          <t>Un bono de VN 100 vence dentro de 5 años, paga un cupón de 10% nominal anual en pagos semestrales sobre el saldo y amortiza en 10 cuotas semestrales iguales desde el primer semestre. ¿Qué precio tiene que pagar el mercado para que la TIR sea 14% nominal anual capitalizable semestralmente?</t>
        </is>
      </c>
    </row>
    <row r="490">
      <c r="A490" s="5" t="inlineStr">
        <is>
          <t>Tu respuesta</t>
        </is>
      </c>
      <c r="B490" s="11" t="n"/>
      <c r="D490" s="5">
        <f>IF(B490="","",IF(ABS(B490-Soluciones!$C$603)&lt;=MAX(0.003*ABS(Soluciones!$C$603),0.0001),"✔ Correcto","✘ Revisá"))</f>
        <v/>
      </c>
    </row>
    <row r="491">
      <c r="A491" s="14" t="inlineStr">
        <is>
          <t>Tu espacio de trabajo</t>
        </is>
      </c>
      <c r="B491" s="15" t="n"/>
      <c r="C491" s="15" t="n"/>
      <c r="D491" s="15" t="n"/>
      <c r="E491" s="15" t="n"/>
      <c r="F491" s="15" t="n"/>
      <c r="G491" s="15" t="n"/>
      <c r="H491" s="15" t="n"/>
    </row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9">
      <c r="A509" s="3" t="inlineStr">
        <is>
          <t>Ejercicio 95</t>
        </is>
      </c>
      <c r="B509" s="3" t="inlineStr">
        <is>
          <t>Error de la duration</t>
        </is>
      </c>
      <c r="C509" s="7" t="n"/>
      <c r="D509" s="7" t="n"/>
      <c r="E509" s="7" t="n"/>
      <c r="F509" s="7" t="n"/>
      <c r="G509" s="7" t="n"/>
      <c r="H509" s="7" t="n"/>
    </row>
    <row r="510" ht="52" customHeight="1">
      <c r="A510" s="8" t="inlineStr">
        <is>
          <t>Un bono de VN 100 vence dentro de 10 años, paga un cupón de 5% anual al final de cada año y amortiza todo al vencimiento. Su TIR efectiva anual sube de 8% a 10%. ¿Cuántos puntos porcentuales de diferencia hay entre la variación real del precio y la estimada solo con duration modificada? (Real menos estimada.)</t>
        </is>
      </c>
    </row>
    <row r="511">
      <c r="A511" s="5" t="inlineStr">
        <is>
          <t>Tu respuesta</t>
        </is>
      </c>
      <c r="B511" s="12" t="n"/>
      <c r="D511" s="5">
        <f>IF(B511="","",IF(ABS(B511-Soluciones!$C$629)&lt;=MAX(0.003*ABS(Soluciones!$C$629),0.0001),"✔ Correcto","✘ Revisá"))</f>
        <v/>
      </c>
    </row>
    <row r="512">
      <c r="A512" s="14" t="inlineStr">
        <is>
          <t>Tu espacio de trabajo</t>
        </is>
      </c>
      <c r="B512" s="15" t="n"/>
      <c r="C512" s="15" t="n"/>
      <c r="D512" s="15" t="n"/>
      <c r="E512" s="15" t="n"/>
      <c r="F512" s="15" t="n"/>
      <c r="G512" s="15" t="n"/>
      <c r="H512" s="15" t="n"/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30">
      <c r="A530" s="3" t="inlineStr">
        <is>
          <t>Ejercicio 96</t>
        </is>
      </c>
      <c r="B530" s="3" t="inlineStr">
        <is>
          <t>TIR entre fechas de pago</t>
        </is>
      </c>
      <c r="C530" s="7" t="n"/>
      <c r="D530" s="7" t="n"/>
      <c r="E530" s="7" t="n"/>
      <c r="F530" s="7" t="n"/>
      <c r="G530" s="7" t="n"/>
      <c r="H530" s="7" t="n"/>
    </row>
    <row r="531" ht="52" customHeight="1">
      <c r="A531" s="8" t="inlineStr">
        <is>
          <t>Un bono de VN 100 paga un cupón de 6% nominal anual en dos pagos iguales sobre el VN, el 30 de abril y el 31 de octubre, y amortiza todo el 31/10/2029. El 15/02/2027 lo comprás a un precio sucio de 98,70. Calculá la TIR efectiva anual (TIR.NO.PER).</t>
        </is>
      </c>
    </row>
    <row r="532">
      <c r="A532" s="5" t="inlineStr">
        <is>
          <t>Tu respuesta</t>
        </is>
      </c>
      <c r="B532" s="12" t="n"/>
      <c r="D532" s="5">
        <f>IF(B532="","",IF(ABS(B532-Soluciones!$C$655)&lt;=MAX(0.003*ABS(Soluciones!$C$655),0.0001),"✔ Correcto","✘ Revisá"))</f>
        <v/>
      </c>
    </row>
    <row r="533">
      <c r="A533" s="14" t="inlineStr">
        <is>
          <t>Tu espacio de trabajo</t>
        </is>
      </c>
      <c r="B533" s="15" t="n"/>
      <c r="C533" s="15" t="n"/>
      <c r="D533" s="15" t="n"/>
      <c r="E533" s="15" t="n"/>
      <c r="F533" s="15" t="n"/>
      <c r="G533" s="15" t="n"/>
      <c r="H533" s="15" t="n"/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51">
      <c r="A551" s="3" t="inlineStr">
        <is>
          <t>Ejercicio 97</t>
        </is>
      </c>
      <c r="B551" s="3" t="inlineStr">
        <is>
          <t>TIR con precio limpio</t>
        </is>
      </c>
      <c r="C551" s="7" t="n"/>
      <c r="D551" s="7" t="n"/>
      <c r="E551" s="7" t="n"/>
      <c r="F551" s="7" t="n"/>
      <c r="G551" s="7" t="n"/>
      <c r="H551" s="7" t="n"/>
    </row>
    <row r="552" ht="68" customHeight="1">
      <c r="A552" s="8" t="inlineStr">
        <is>
          <t>El mismo tipo de bono: VN 100, cupón de 6% nominal anual en dos pagos iguales sobre el VN (30 de abril y 31 de octubre), amortiza todo el 31/10/2029. El 15/02/2027 cotiza a un precio limpio de 97,00. Los intereses corridos se calculan en base actual/365 desde el último pago. Calculá la TIR efectiva anual (TIR.NO.PER) que obtenés.</t>
        </is>
      </c>
    </row>
    <row r="553">
      <c r="A553" s="5" t="inlineStr">
        <is>
          <t>Tu respuesta</t>
        </is>
      </c>
      <c r="B553" s="12" t="n"/>
      <c r="D553" s="5">
        <f>IF(B553="","",IF(ABS(B553-Soluciones!$C$677)&lt;=MAX(0.003*ABS(Soluciones!$C$677),0.0001),"✔ Correcto","✘ Revisá"))</f>
        <v/>
      </c>
    </row>
    <row r="554">
      <c r="A554" s="14" t="inlineStr">
        <is>
          <t>Tu espacio de trabajo</t>
        </is>
      </c>
      <c r="B554" s="15" t="n"/>
      <c r="C554" s="15" t="n"/>
      <c r="D554" s="15" t="n"/>
      <c r="E554" s="15" t="n"/>
      <c r="F554" s="15" t="n"/>
      <c r="G554" s="15" t="n"/>
      <c r="H554" s="15" t="n"/>
    </row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2">
      <c r="A572" s="3" t="inlineStr">
        <is>
          <t>Ejercicio 98</t>
        </is>
      </c>
      <c r="B572" s="3" t="inlineStr">
        <is>
          <t>AL30 · duration</t>
        </is>
      </c>
      <c r="C572" s="7" t="n"/>
      <c r="D572" s="7" t="n"/>
      <c r="E572" s="7" t="n"/>
      <c r="F572" s="7" t="n"/>
      <c r="G572" s="7" t="n"/>
      <c r="H572" s="7" t="n"/>
    </row>
    <row r="573" ht="68" customHeight="1">
      <c r="A573" s="8" t="inlineStr">
        <is>
          <t>Con las condiciones del AL30 (amortiza 4% del VN original el 09/07/2024 y 8% en cada fecha de pago siguiente, 9 de enero y 9 de julio, hasta el 09/07/2030; cupón semestral sobre saldo de 0,75% anual hasta el pago del 09/07/2027 inclusive y 1,75% anual desde ahí, cada cupón = tasa anual / 2 × saldo), calculá su duration en años (días/365) el 09/01/2027, ya cobrado el pago de ese día, si su TIR efectiva anual es 12%.</t>
        </is>
      </c>
    </row>
    <row r="574">
      <c r="A574" s="5" t="inlineStr">
        <is>
          <t>Tu respuesta</t>
        </is>
      </c>
      <c r="B574" s="11" t="n"/>
      <c r="D574" s="5">
        <f>IF(B574="","",IF(ABS(B574-Soluciones!$C$699)&lt;=MAX(0.003*ABS(Soluciones!$C$699),0.0001),"✔ Correcto","✘ Revisá"))</f>
        <v/>
      </c>
    </row>
    <row r="575">
      <c r="A575" s="14" t="inlineStr">
        <is>
          <t>Tu espacio de trabajo</t>
        </is>
      </c>
      <c r="B575" s="15" t="n"/>
      <c r="C575" s="15" t="n"/>
      <c r="D575" s="15" t="n"/>
      <c r="E575" s="15" t="n"/>
      <c r="F575" s="15" t="n"/>
      <c r="G575" s="15" t="n"/>
      <c r="H575" s="15" t="n"/>
    </row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3">
      <c r="A593" s="3" t="inlineStr">
        <is>
          <t>Ejercicio 99</t>
        </is>
      </c>
      <c r="B593" s="3" t="inlineStr">
        <is>
          <t>AE38 · PPV</t>
        </is>
      </c>
      <c r="C593" s="7" t="n"/>
      <c r="D593" s="7" t="n"/>
      <c r="E593" s="7" t="n"/>
      <c r="F593" s="7" t="n"/>
      <c r="G593" s="7" t="n"/>
      <c r="H593" s="7" t="n"/>
    </row>
    <row r="594" ht="68" customHeight="1">
      <c r="A594" s="8" t="inlineStr">
        <is>
          <t>El AE38 paga cupón semestral de 5% anual sobre el saldo (9 de enero y 9 de julio; cada cupón = 2,5% del saldo al inicio del semestre) y amortiza en 22 cuotas semestrales iguales, la primera el 09/07/2027 y la última el 09/01/2038. Calculá su promedio ponderado de vida, Σ t·(A+R) / Σ (A+R), en años (días/365), al 09/01/2028, ya cobrado el pago de ese día.</t>
        </is>
      </c>
    </row>
    <row r="595">
      <c r="A595" s="5" t="inlineStr">
        <is>
          <t>Tu respuesta</t>
        </is>
      </c>
      <c r="B595" s="11" t="n"/>
      <c r="D595" s="5">
        <f>IF(B595="","",IF(ABS(B595-Soluciones!$C$722)&lt;=MAX(0.003*ABS(Soluciones!$C$722),0.0001),"✔ Correcto","✘ Revisá"))</f>
        <v/>
      </c>
    </row>
    <row r="596">
      <c r="A596" s="14" t="inlineStr">
        <is>
          <t>Tu espacio de trabajo</t>
        </is>
      </c>
      <c r="B596" s="15" t="n"/>
      <c r="C596" s="15" t="n"/>
      <c r="D596" s="15" t="n"/>
      <c r="E596" s="15" t="n"/>
      <c r="F596" s="15" t="n"/>
      <c r="G596" s="15" t="n"/>
      <c r="H596" s="15" t="n"/>
    </row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4">
      <c r="A614" s="3" t="inlineStr">
        <is>
          <t>Ejercicio 100</t>
        </is>
      </c>
      <c r="B614" s="3" t="inlineStr">
        <is>
          <t>GD41 · precio</t>
        </is>
      </c>
      <c r="C614" s="7" t="n"/>
      <c r="D614" s="7" t="n"/>
      <c r="E614" s="7" t="n"/>
      <c r="F614" s="7" t="n"/>
      <c r="G614" s="7" t="n"/>
      <c r="H614" s="7" t="n"/>
    </row>
    <row r="615" ht="68" customHeight="1">
      <c r="A615" s="8" t="inlineStr">
        <is>
          <t>El GD41 paga cupón semestral (9 de enero y 9 de julio) sobre el saldo, de 4,875% anual desde el 09/07/2029 (cada cupón = tasa anual / 2 × saldo al inicio del semestre), y amortiza en 28 cuotas semestrales iguales, la primera el 09/01/2028 y la última el 09/07/2041. El 09/07/2029, ya cobrado el pago de ese día, ¿cuánto vale por cada 100 de VN original si la TIR efectiva anual es 9%? (Descontá con días/365.)</t>
        </is>
      </c>
    </row>
    <row r="616">
      <c r="A616" s="5" t="inlineStr">
        <is>
          <t>Tu respuesta</t>
        </is>
      </c>
      <c r="B616" s="11" t="n"/>
      <c r="D616" s="5">
        <f>IF(B616="","",IF(ABS(B616-Soluciones!$C$758)&lt;=MAX(0.003*ABS(Soluciones!$C$758),0.0001),"✔ Correcto","✘ Revisá"))</f>
        <v/>
      </c>
    </row>
    <row r="617">
      <c r="A617" s="14" t="inlineStr">
        <is>
          <t>Tu espacio de trabajo</t>
        </is>
      </c>
      <c r="B617" s="15" t="n"/>
      <c r="C617" s="15" t="n"/>
      <c r="D617" s="15" t="n"/>
      <c r="E617" s="15" t="n"/>
      <c r="F617" s="15" t="n"/>
      <c r="G617" s="15" t="n"/>
      <c r="H617" s="15" t="n"/>
    </row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</sheetData>
  <mergeCells count="30">
    <mergeCell ref="A48:H48"/>
    <mergeCell ref="A279:H279"/>
    <mergeCell ref="A615:H615"/>
    <mergeCell ref="A300:H300"/>
    <mergeCell ref="A216:H216"/>
    <mergeCell ref="A132:H132"/>
    <mergeCell ref="A552:H552"/>
    <mergeCell ref="A6:H6"/>
    <mergeCell ref="A153:H153"/>
    <mergeCell ref="A237:H237"/>
    <mergeCell ref="A69:H69"/>
    <mergeCell ref="A174:H174"/>
    <mergeCell ref="A363:H363"/>
    <mergeCell ref="A90:H90"/>
    <mergeCell ref="A426:H426"/>
    <mergeCell ref="A27:H27"/>
    <mergeCell ref="A531:H531"/>
    <mergeCell ref="A447:H447"/>
    <mergeCell ref="A384:H384"/>
    <mergeCell ref="A468:H468"/>
    <mergeCell ref="A195:H195"/>
    <mergeCell ref="A489:H489"/>
    <mergeCell ref="A321:H321"/>
    <mergeCell ref="A405:H405"/>
    <mergeCell ref="A573:H573"/>
    <mergeCell ref="A342:H342"/>
    <mergeCell ref="A594:H594"/>
    <mergeCell ref="A510:H510"/>
    <mergeCell ref="A111:H111"/>
    <mergeCell ref="A258:H2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</cols>
  <sheetData>
    <row r="1">
      <c r="A1" s="6" t="inlineStr">
        <is>
          <t>Soluciones · serie 2</t>
        </is>
      </c>
    </row>
    <row r="2">
      <c r="A2" s="2" t="inlineStr">
        <is>
          <t>Mirala después de resolver. En los completos está el flujo de fondos armado, con fórmulas vivas.</t>
        </is>
      </c>
    </row>
    <row r="4">
      <c r="A4" s="3" t="inlineStr">
        <is>
          <t>Ejercicio 51</t>
        </is>
      </c>
      <c r="B4" s="3" t="inlineStr">
        <is>
          <t>Rápido · Cupón cero · precio</t>
        </is>
      </c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5" t="inlineStr">
        <is>
          <t>Respuesta</t>
        </is>
      </c>
      <c r="C5" s="16" t="n">
        <v>73.11913813009502</v>
      </c>
      <c r="D5" s="2" t="inlineStr">
        <is>
          <t>73,12</t>
        </is>
      </c>
    </row>
    <row r="6">
      <c r="A6" t="inlineStr">
        <is>
          <t>En Excel</t>
        </is>
      </c>
      <c r="C6" t="inlineStr">
        <is>
          <t>=100/(1+11%)^3  ó  =VA(11%;3;0;-100)</t>
        </is>
      </c>
    </row>
    <row r="7" ht="30" customHeight="1">
      <c r="A7" t="inlineStr">
        <is>
          <t>Explicación</t>
        </is>
      </c>
      <c r="C7" s="8" t="inlineStr">
        <is>
          <t>El único flujo (100) se descuenta 3 años a la TIR: P = 100 / 1,11³.</t>
        </is>
      </c>
    </row>
    <row r="10">
      <c r="A10" s="3" t="inlineStr">
        <is>
          <t>Ejercicio 52</t>
        </is>
      </c>
      <c r="B10" s="3" t="inlineStr">
        <is>
          <t>Rápido · Letra · TNA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5" t="inlineStr">
        <is>
          <t>Respuesta</t>
        </is>
      </c>
      <c r="C11" s="17" t="n">
        <v>0.2133611691022969</v>
      </c>
      <c r="D11" s="2" t="inlineStr">
        <is>
          <t>21,34 %</t>
        </is>
      </c>
    </row>
    <row r="12">
      <c r="A12" t="inlineStr">
        <is>
          <t>En Excel</t>
        </is>
      </c>
      <c r="C12" t="inlineStr">
        <is>
          <t>=(100/95,8-1)*365/75</t>
        </is>
      </c>
    </row>
    <row r="13" ht="30" customHeight="1">
      <c r="A13" t="inlineStr">
        <is>
          <t>Explicación</t>
        </is>
      </c>
      <c r="C13" s="8" t="inlineStr">
        <is>
          <t>Rendimiento directo del plazo (100/95,80 − 1) llevado a año en forma proporcional: × 365/75.</t>
        </is>
      </c>
    </row>
    <row r="16">
      <c r="A16" s="3" t="inlineStr">
        <is>
          <t>Ejercicio 53</t>
        </is>
      </c>
      <c r="B16" s="3" t="inlineStr">
        <is>
          <t>Rápido · TNA → TEA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5" t="inlineStr">
        <is>
          <t>Respuesta</t>
        </is>
      </c>
      <c r="C17" s="17" t="n">
        <v>0.425862304012339</v>
      </c>
      <c r="D17" s="2" t="inlineStr">
        <is>
          <t>42,59 %</t>
        </is>
      </c>
    </row>
    <row r="18">
      <c r="A18" t="inlineStr">
        <is>
          <t>En Excel</t>
        </is>
      </c>
      <c r="C18" t="inlineStr">
        <is>
          <t>=(1+36%*30/365)^(365/30)-1</t>
        </is>
      </c>
    </row>
    <row r="19" ht="30" customHeight="1">
      <c r="A19" t="inlineStr">
        <is>
          <t>Explicación</t>
        </is>
      </c>
      <c r="C19" s="8" t="inlineStr">
        <is>
          <t>Tasa del período = TNA × 30/365; se capitaliza 365/30 veces en el año.</t>
        </is>
      </c>
    </row>
    <row r="22">
      <c r="A22" s="3" t="inlineStr">
        <is>
          <t>Ejercicio 54</t>
        </is>
      </c>
      <c r="B22" s="3" t="inlineStr">
        <is>
          <t>Rápido · TEA → TEM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5" t="inlineStr">
        <is>
          <t>Respuesta</t>
        </is>
      </c>
      <c r="C23" s="17" t="n">
        <v>0.03101058363727383</v>
      </c>
      <c r="D23" s="2" t="inlineStr">
        <is>
          <t>3,10 %</t>
        </is>
      </c>
    </row>
    <row r="24">
      <c r="A24" t="inlineStr">
        <is>
          <t>En Excel</t>
        </is>
      </c>
      <c r="C24" t="inlineStr">
        <is>
          <t>=(1+45%)^(30/365)-1</t>
        </is>
      </c>
    </row>
    <row r="25" ht="30" customHeight="1">
      <c r="A25" t="inlineStr">
        <is>
          <t>Explicación</t>
        </is>
      </c>
      <c r="C25" s="8" t="inlineStr">
        <is>
          <t>Las tasas efectivas se convierten con potencias: (1 + TEA)^(30/365) − 1.</t>
        </is>
      </c>
    </row>
    <row r="28">
      <c r="A28" s="3" t="inlineStr">
        <is>
          <t>Ejercicio 55</t>
        </is>
      </c>
      <c r="B28" s="3" t="inlineStr">
        <is>
          <t>Rápido · Bullet anual · TIR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5" t="inlineStr">
        <is>
          <t>Respuesta</t>
        </is>
      </c>
      <c r="C29" s="17" t="n">
        <v>0.08439011609418745</v>
      </c>
      <c r="D29" s="2" t="inlineStr">
        <is>
          <t>8,44 %</t>
        </is>
      </c>
    </row>
    <row r="30">
      <c r="A30" t="inlineStr">
        <is>
          <t>En Excel</t>
        </is>
      </c>
      <c r="C30" t="inlineStr">
        <is>
          <t>=TIR(flujos)</t>
        </is>
      </c>
    </row>
    <row r="31" ht="30" customHeight="1">
      <c r="A31" t="inlineStr">
        <is>
          <t>Explicación</t>
        </is>
      </c>
      <c r="C31" s="8" t="inlineStr">
        <is>
          <t>Con pagos anuales, la TIR de los flujos ya es efectiva anual.</t>
        </is>
      </c>
    </row>
    <row r="34">
      <c r="A34" s="3" t="inlineStr">
        <is>
          <t>Ejercicio 56</t>
        </is>
      </c>
      <c r="B34" s="3" t="inlineStr">
        <is>
          <t>Rápido · Semestral · TIR → TEA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5" t="inlineStr">
        <is>
          <t>Respuesta</t>
        </is>
      </c>
      <c r="C35" s="17" t="n">
        <v>0.09920444204483014</v>
      </c>
      <c r="D35" s="2" t="inlineStr">
        <is>
          <t>9,92 %</t>
        </is>
      </c>
    </row>
    <row r="36">
      <c r="A36" t="inlineStr">
        <is>
          <t>En Excel</t>
        </is>
      </c>
      <c r="C36" t="inlineStr">
        <is>
          <t>=(1+TIR(flujos))^2-1</t>
        </is>
      </c>
    </row>
    <row r="37" ht="30" customHeight="1">
      <c r="A37" t="inlineStr">
        <is>
          <t>Explicación</t>
        </is>
      </c>
      <c r="C37" s="8" t="inlineStr">
        <is>
          <t>TIR(flujos) da la tasa semestral; se pasa a efectiva anual elevando al cuadrado.</t>
        </is>
      </c>
    </row>
    <row r="40">
      <c r="A40" s="3" t="inlineStr">
        <is>
          <t>Ejercicio 57</t>
        </is>
      </c>
      <c r="B40" s="3" t="inlineStr">
        <is>
          <t>Rápido · Current yield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5" t="inlineStr">
        <is>
          <t>Respuesta</t>
        </is>
      </c>
      <c r="C41" s="17" t="n">
        <v>0.08522727272727272</v>
      </c>
      <c r="D41" s="2" t="inlineStr">
        <is>
          <t>8,52 %</t>
        </is>
      </c>
    </row>
    <row r="42">
      <c r="A42" t="inlineStr">
        <is>
          <t>En Excel</t>
        </is>
      </c>
      <c r="C42" t="inlineStr">
        <is>
          <t>=7,5/88</t>
        </is>
      </c>
    </row>
    <row r="43" ht="30" customHeight="1">
      <c r="A43" t="inlineStr">
        <is>
          <t>Explicación</t>
        </is>
      </c>
      <c r="C43" s="8" t="inlineStr">
        <is>
          <t>CY = renta anual / precio.</t>
        </is>
      </c>
    </row>
    <row r="46">
      <c r="A46" s="3" t="inlineStr">
        <is>
          <t>Ejercicio 58</t>
        </is>
      </c>
      <c r="B46" s="3" t="inlineStr">
        <is>
          <t>Rápido · Paridad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5" t="inlineStr">
        <is>
          <t>Respuesta</t>
        </is>
      </c>
      <c r="C47" s="17" t="n">
        <v>0.9052287581699345</v>
      </c>
      <c r="D47" s="2" t="inlineStr">
        <is>
          <t>90,52 %</t>
        </is>
      </c>
    </row>
    <row r="48">
      <c r="A48" t="inlineStr">
        <is>
          <t>En Excel</t>
        </is>
      </c>
      <c r="C48" t="inlineStr">
        <is>
          <t>=55,4/(60+1,2)</t>
        </is>
      </c>
    </row>
    <row r="49" ht="30" customHeight="1">
      <c r="A49" t="inlineStr">
        <is>
          <t>Explicación</t>
        </is>
      </c>
      <c r="C49" s="8" t="inlineStr">
        <is>
          <t>Paridad = precio / valor técnico, con VT = VR + intereses corridos.</t>
        </is>
      </c>
    </row>
    <row r="52">
      <c r="A52" s="3" t="inlineStr">
        <is>
          <t>Ejercicio 59</t>
        </is>
      </c>
      <c r="B52" s="3" t="inlineStr">
        <is>
          <t>Rápido · Valor técnico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5" t="inlineStr">
        <is>
          <t>Respuesta</t>
        </is>
      </c>
      <c r="C53" s="16" t="n">
        <v>80.95999999999999</v>
      </c>
      <c r="D53" s="2" t="inlineStr">
        <is>
          <t>80,96</t>
        </is>
      </c>
    </row>
    <row r="54">
      <c r="A54" t="inlineStr">
        <is>
          <t>En Excel</t>
        </is>
      </c>
      <c r="C54" t="inlineStr">
        <is>
          <t>=80+80*6%*73/365</t>
        </is>
      </c>
    </row>
    <row r="55" ht="30" customHeight="1">
      <c r="A55" t="inlineStr">
        <is>
          <t>Explicación</t>
        </is>
      </c>
      <c r="C55" s="8" t="inlineStr">
        <is>
          <t>VT = VR + VR × cupón × días/365.</t>
        </is>
      </c>
    </row>
    <row r="58">
      <c r="A58" s="3" t="inlineStr">
        <is>
          <t>Ejercicio 60</t>
        </is>
      </c>
      <c r="B58" s="3" t="inlineStr">
        <is>
          <t>Rápido · Duration con flujos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5" t="inlineStr">
        <is>
          <t>Respuesta</t>
        </is>
      </c>
      <c r="C59" s="16" t="n">
        <v>3.561694183536549</v>
      </c>
      <c r="D59" s="2" t="inlineStr">
        <is>
          <t>3,562</t>
        </is>
      </c>
    </row>
    <row r="60">
      <c r="A60" t="inlineStr">
        <is>
          <t>En Excel</t>
        </is>
      </c>
      <c r="C60" t="inlineStr">
        <is>
          <t>=SUMAPRODUCTO(t;flujo/(1+10%)^t)/SUMAPRODUCTO(flujo/(1+10%)^t)</t>
        </is>
      </c>
    </row>
    <row r="61" ht="30" customHeight="1">
      <c r="A61" t="inlineStr">
        <is>
          <t>Explicación</t>
        </is>
      </c>
      <c r="C61" s="8" t="inlineStr">
        <is>
          <t>D = Σ t · VA / Σ VA: el promedio de los plazos ponderado por el valor actual de cada flujo.</t>
        </is>
      </c>
    </row>
    <row r="64">
      <c r="A64" s="3" t="inlineStr">
        <is>
          <t>Ejercicio 61</t>
        </is>
      </c>
      <c r="B64" s="3" t="inlineStr">
        <is>
          <t>Rápido · Duration modificada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5" t="inlineStr">
        <is>
          <t>Respuesta</t>
        </is>
      </c>
      <c r="C65" s="16" t="n">
        <v>4.162679425837321</v>
      </c>
      <c r="D65" s="2" t="inlineStr">
        <is>
          <t>4,163</t>
        </is>
      </c>
    </row>
    <row r="66">
      <c r="A66" t="inlineStr">
        <is>
          <t>En Excel</t>
        </is>
      </c>
      <c r="C66" t="inlineStr">
        <is>
          <t>=4,35/(1+9%/2)</t>
        </is>
      </c>
    </row>
    <row r="67" ht="30" customHeight="1">
      <c r="A67" t="inlineStr">
        <is>
          <t>Explicación</t>
        </is>
      </c>
      <c r="C67" s="8" t="inlineStr">
        <is>
          <t>DM = D / (1 + TIR/m).</t>
        </is>
      </c>
    </row>
    <row r="70">
      <c r="A70" s="3" t="inlineStr">
        <is>
          <t>Ejercicio 62</t>
        </is>
      </c>
      <c r="B70" s="3" t="inlineStr">
        <is>
          <t>Rápido · Variación de precio con DM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5" t="inlineStr">
        <is>
          <t>Respuesta</t>
        </is>
      </c>
      <c r="C71" s="17" t="n">
        <v>-0.0624</v>
      </c>
      <c r="D71" s="2" t="inlineStr">
        <is>
          <t>-6,24 %</t>
        </is>
      </c>
    </row>
    <row r="72">
      <c r="A72" t="inlineStr">
        <is>
          <t>En Excel</t>
        </is>
      </c>
      <c r="C72" t="inlineStr">
        <is>
          <t>=-5,2*1,2%</t>
        </is>
      </c>
    </row>
    <row r="73" ht="30" customHeight="1">
      <c r="A73" t="inlineStr">
        <is>
          <t>Explicación</t>
        </is>
      </c>
      <c r="C73" s="8" t="inlineStr">
        <is>
          <t>Var.% Pr. ≈ − DM × ΔTIR. 120 pb = 0,012.</t>
        </is>
      </c>
    </row>
    <row r="76">
      <c r="A76" s="3" t="inlineStr">
        <is>
          <t>Ejercicio 63</t>
        </is>
      </c>
      <c r="B76" s="3" t="inlineStr">
        <is>
          <t>Rápido · DM + convexidad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5" t="inlineStr">
        <is>
          <t>Respuesta</t>
        </is>
      </c>
      <c r="C77" s="17" t="n">
        <v>0.113475</v>
      </c>
      <c r="D77" s="2" t="inlineStr">
        <is>
          <t>11,35 %</t>
        </is>
      </c>
    </row>
    <row r="78">
      <c r="A78" t="inlineStr">
        <is>
          <t>En Excel</t>
        </is>
      </c>
      <c r="C78" t="inlineStr">
        <is>
          <t>=-7,1*(-1,5%)+0,5*62*(-1,5%)^2</t>
        </is>
      </c>
    </row>
    <row r="79" ht="30" customHeight="1">
      <c r="A79" t="inlineStr">
        <is>
          <t>Explicación</t>
        </is>
      </c>
      <c r="C79" s="8" t="inlineStr">
        <is>
          <t>Var.% Pr. ≈ − DM × ΔTIR + ½ × C × ΔTIR². El término de convexidad siempre suma.</t>
        </is>
      </c>
    </row>
    <row r="82">
      <c r="A82" s="3" t="inlineStr">
        <is>
          <t>Ejercicio 64</t>
        </is>
      </c>
      <c r="B82" s="3" t="inlineStr">
        <is>
          <t>Rápido · Precio con flujos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5" t="inlineStr">
        <is>
          <t>Respuesta</t>
        </is>
      </c>
      <c r="C83" s="16" t="n">
        <v>92.79044759530996</v>
      </c>
      <c r="D83" s="2" t="inlineStr">
        <is>
          <t>92,79</t>
        </is>
      </c>
    </row>
    <row r="84">
      <c r="A84" t="inlineStr">
        <is>
          <t>En Excel</t>
        </is>
      </c>
      <c r="C84" t="inlineStr">
        <is>
          <t>=VNA(12%;flujos)</t>
        </is>
      </c>
    </row>
    <row r="85" ht="30" customHeight="1">
      <c r="A85" t="inlineStr">
        <is>
          <t>Explicación</t>
        </is>
      </c>
      <c r="C85" s="8" t="inlineStr">
        <is>
          <t>El precio es la suma de los flujos descontados a la TIR.</t>
        </is>
      </c>
    </row>
    <row r="88">
      <c r="A88" s="3" t="inlineStr">
        <is>
          <t>Ejercicio 65</t>
        </is>
      </c>
      <c r="B88" s="3" t="inlineStr">
        <is>
          <t>Rápido · PPV con flujos</t>
        </is>
      </c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5" t="inlineStr">
        <is>
          <t>Respuesta</t>
        </is>
      </c>
      <c r="C89" s="16" t="n">
        <v>2.416666666666667</v>
      </c>
      <c r="D89" s="2" t="inlineStr">
        <is>
          <t>2,417</t>
        </is>
      </c>
    </row>
    <row r="90">
      <c r="A90" t="inlineStr">
        <is>
          <t>En Excel</t>
        </is>
      </c>
      <c r="C90" t="inlineStr">
        <is>
          <t>=SUMAPRODUCTO(t;flujo)/SUMA(flujo)</t>
        </is>
      </c>
    </row>
    <row r="91" ht="30" customHeight="1">
      <c r="A91" t="inlineStr">
        <is>
          <t>Explicación</t>
        </is>
      </c>
      <c r="C91" s="8" t="inlineStr">
        <is>
          <t>El PPV pondera cada plazo por el flujo nominal, sin descontar.</t>
        </is>
      </c>
    </row>
    <row r="94">
      <c r="A94" s="3" t="inlineStr">
        <is>
          <t>Ejercicio 66</t>
        </is>
      </c>
      <c r="B94" s="3" t="inlineStr">
        <is>
          <t>Rápido · Duration de cartera</t>
        </is>
      </c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5" t="inlineStr">
        <is>
          <t>Respuesta</t>
        </is>
      </c>
      <c r="C95" s="16" t="n">
        <v>4.345</v>
      </c>
      <c r="D95" s="2" t="inlineStr">
        <is>
          <t>4,345</t>
        </is>
      </c>
    </row>
    <row r="96">
      <c r="A96" t="inlineStr">
        <is>
          <t>En Excel</t>
        </is>
      </c>
      <c r="C96" t="inlineStr">
        <is>
          <t>=40%*2,1+35%*4,8+25%*7,3</t>
        </is>
      </c>
    </row>
    <row r="97" ht="30" customHeight="1">
      <c r="A97" t="inlineStr">
        <is>
          <t>Explicación</t>
        </is>
      </c>
      <c r="C97" s="8" t="inlineStr">
        <is>
          <t>La duration de una cartera es el promedio de las durations ponderado por el valor de cada posición.</t>
        </is>
      </c>
    </row>
    <row r="100">
      <c r="A100" s="3" t="inlineStr">
        <is>
          <t>Ejercicio 67</t>
        </is>
      </c>
      <c r="B100" s="3" t="inlineStr">
        <is>
          <t>Rápido · TIR.NO.PER</t>
        </is>
      </c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5" t="inlineStr">
        <is>
          <t>Respuesta</t>
        </is>
      </c>
      <c r="C101" s="17" t="n">
        <v>0.09903792679283641</v>
      </c>
      <c r="D101" s="2" t="inlineStr">
        <is>
          <t>9,90 %</t>
        </is>
      </c>
    </row>
    <row r="102">
      <c r="A102" t="inlineStr">
        <is>
          <t>En Excel</t>
        </is>
      </c>
      <c r="C102" t="inlineStr">
        <is>
          <t>=TIR.NO.PER(flujos;fechas)</t>
        </is>
      </c>
    </row>
    <row r="103" ht="30" customHeight="1">
      <c r="A103" t="inlineStr">
        <is>
          <t>Explicación</t>
        </is>
      </c>
      <c r="C103" s="8" t="inlineStr">
        <is>
          <t>TIR.NO.PER descuenta cada flujo con (1 + TIR)^(días/365): devuelve una tasa efectiva anual.</t>
        </is>
      </c>
    </row>
    <row r="106">
      <c r="A106" s="3" t="inlineStr">
        <is>
          <t>Ejercicio 68</t>
        </is>
      </c>
      <c r="B106" s="3" t="inlineStr">
        <is>
          <t>Rápido · Monto a invertir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5" t="inlineStr">
        <is>
          <t>Respuesta</t>
        </is>
      </c>
      <c r="C107" s="16" t="n">
        <v>29113.64</v>
      </c>
      <c r="D107" s="2" t="inlineStr">
        <is>
          <t>$ 29.113,64</t>
        </is>
      </c>
    </row>
    <row r="108">
      <c r="A108" t="inlineStr">
        <is>
          <t>En Excel</t>
        </is>
      </c>
      <c r="C108" t="inlineStr">
        <is>
          <t>=72,35/100*40000*(1+0,6%)</t>
        </is>
      </c>
    </row>
    <row r="109" ht="30" customHeight="1">
      <c r="A109" t="inlineStr">
        <is>
          <t>Explicación</t>
        </is>
      </c>
      <c r="C109" s="8" t="inlineStr">
        <is>
          <t>Monto = precio × cantidad nominal (el precio está por cada 100), más la comisión.</t>
        </is>
      </c>
    </row>
    <row r="112">
      <c r="A112" s="3" t="inlineStr">
        <is>
          <t>Ejercicio 69</t>
        </is>
      </c>
      <c r="B112" s="3" t="inlineStr">
        <is>
          <t>Rápido · Caución</t>
        </is>
      </c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5" t="inlineStr">
        <is>
          <t>Respuesta</t>
        </is>
      </c>
      <c r="C113" s="16" t="n">
        <v>2011890.410958904</v>
      </c>
      <c r="D113" s="2" t="inlineStr">
        <is>
          <t>$ 2.011.890,41</t>
        </is>
      </c>
    </row>
    <row r="114">
      <c r="A114" t="inlineStr">
        <is>
          <t>En Excel</t>
        </is>
      </c>
      <c r="C114" t="inlineStr">
        <is>
          <t>=2000000*(1+31%*7/365)</t>
        </is>
      </c>
    </row>
    <row r="115" ht="30" customHeight="1">
      <c r="A115" t="inlineStr">
        <is>
          <t>Explicación</t>
        </is>
      </c>
      <c r="C115" s="8" t="inlineStr">
        <is>
          <t>Interés simple: capital × (1 + TNA × días/365).</t>
        </is>
      </c>
    </row>
    <row r="118">
      <c r="A118" s="3" t="inlineStr">
        <is>
          <t>Ejercicio 70</t>
        </is>
      </c>
      <c r="B118" s="3" t="inlineStr">
        <is>
          <t>Rápido · TIR nominal → TEA</t>
        </is>
      </c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>
      <c r="A119" s="5" t="inlineStr">
        <is>
          <t>Respuesta</t>
        </is>
      </c>
      <c r="C119" s="17" t="n">
        <v>0.1038128906249995</v>
      </c>
      <c r="D119" s="2" t="inlineStr">
        <is>
          <t>10,38 %</t>
        </is>
      </c>
    </row>
    <row r="120">
      <c r="A120" t="inlineStr">
        <is>
          <t>En Excel</t>
        </is>
      </c>
      <c r="C120" t="inlineStr">
        <is>
          <t>=(1+10%/4)^4-1</t>
        </is>
      </c>
    </row>
    <row r="121" ht="30" customHeight="1">
      <c r="A121" t="inlineStr">
        <is>
          <t>Explicación</t>
        </is>
      </c>
      <c r="C121" s="8" t="inlineStr">
        <is>
          <t>TEA = (1 + TNA/m)^m − 1.</t>
        </is>
      </c>
    </row>
    <row r="124">
      <c r="A124" s="3" t="inlineStr">
        <is>
          <t>Ejercicio 71</t>
        </is>
      </c>
      <c r="B124" s="3" t="inlineStr">
        <is>
          <t>Completo · Bullet anual · TIR</t>
        </is>
      </c>
      <c r="C124" s="7" t="n"/>
      <c r="D124" s="7" t="n"/>
      <c r="E124" s="7" t="n"/>
      <c r="F124" s="7" t="n"/>
      <c r="G124" s="7" t="n"/>
      <c r="H124" s="7" t="n"/>
      <c r="I124" s="7" t="n"/>
      <c r="J124" s="7" t="n"/>
    </row>
    <row r="125">
      <c r="A125" s="5" t="inlineStr">
        <is>
          <t>Respuesta</t>
        </is>
      </c>
      <c r="C125" s="18">
        <f>$B$136</f>
        <v/>
      </c>
      <c r="D125" s="2" t="inlineStr">
        <is>
          <t>8,06 %</t>
        </is>
      </c>
    </row>
    <row r="126">
      <c r="A126" t="inlineStr">
        <is>
          <t>En Excel</t>
        </is>
      </c>
      <c r="C126" t="inlineStr">
        <is>
          <t>=TIR(flujos) (pagos anuales: ya es efectiva anual)</t>
        </is>
      </c>
    </row>
    <row r="127" ht="30" customHeight="1">
      <c r="A127" t="inlineStr">
        <is>
          <t>Explicación</t>
        </is>
      </c>
      <c r="C127" s="8" t="inlineStr">
        <is>
          <t>TIR efectiva anual = 8,058 %. Precio = 96,500 · Duration = 3,6169 años · DM = 3,3472 · Convexidad = 14,955 · PPV = 3,6719.</t>
        </is>
      </c>
    </row>
    <row r="129">
      <c r="A129" s="19" t="inlineStr">
        <is>
          <t>Período</t>
        </is>
      </c>
      <c r="B129" s="19" t="inlineStr">
        <is>
          <t>t (años)</t>
        </is>
      </c>
      <c r="C129" s="19" t="inlineStr">
        <is>
          <t>Renta</t>
        </is>
      </c>
      <c r="D129" s="19" t="inlineStr">
        <is>
          <t>Amort.</t>
        </is>
      </c>
      <c r="E129" s="19" t="inlineStr">
        <is>
          <t>Flujo</t>
        </is>
      </c>
      <c r="F129" s="19" t="inlineStr">
        <is>
          <t>VA</t>
        </is>
      </c>
      <c r="G129" s="19" t="inlineStr">
        <is>
          <t>t · VA</t>
        </is>
      </c>
      <c r="H129" s="19" t="inlineStr">
        <is>
          <t>Convexidad</t>
        </is>
      </c>
      <c r="I129" s="19" t="inlineStr">
        <is>
          <t>t · Flujo</t>
        </is>
      </c>
    </row>
    <row r="130">
      <c r="A130" t="n">
        <v>0</v>
      </c>
      <c r="B130" t="n">
        <v>0</v>
      </c>
      <c r="E130" t="n">
        <v>-96.5</v>
      </c>
    </row>
    <row r="131">
      <c r="A131" t="n">
        <v>1</v>
      </c>
      <c r="B131" s="20">
        <f>A131/1</f>
        <v/>
      </c>
      <c r="C131" s="20" t="n">
        <v>7</v>
      </c>
      <c r="D131" s="20" t="n">
        <v>0</v>
      </c>
      <c r="E131" s="20">
        <f>C131+D131</f>
        <v/>
      </c>
      <c r="F131" s="20">
        <f>E131/(1+$B$136)^B131</f>
        <v/>
      </c>
      <c r="G131" s="20">
        <f>B131*F131</f>
        <v/>
      </c>
      <c r="H131" s="20">
        <f>E131*B131*(B131+1)/(1+$B$136)^(B131+2)</f>
        <v/>
      </c>
      <c r="I131" s="20">
        <f>B131*E131</f>
        <v/>
      </c>
    </row>
    <row r="132">
      <c r="A132" t="n">
        <v>2</v>
      </c>
      <c r="B132" s="20">
        <f>A132/1</f>
        <v/>
      </c>
      <c r="C132" s="20" t="n">
        <v>7</v>
      </c>
      <c r="D132" s="20" t="n">
        <v>0</v>
      </c>
      <c r="E132" s="20">
        <f>C132+D132</f>
        <v/>
      </c>
      <c r="F132" s="20">
        <f>E132/(1+$B$136)^B132</f>
        <v/>
      </c>
      <c r="G132" s="20">
        <f>B132*F132</f>
        <v/>
      </c>
      <c r="H132" s="20">
        <f>E132*B132*(B132+1)/(1+$B$136)^(B132+2)</f>
        <v/>
      </c>
      <c r="I132" s="20">
        <f>B132*E132</f>
        <v/>
      </c>
    </row>
    <row r="133">
      <c r="A133" t="n">
        <v>3</v>
      </c>
      <c r="B133" s="20">
        <f>A133/1</f>
        <v/>
      </c>
      <c r="C133" s="20" t="n">
        <v>7</v>
      </c>
      <c r="D133" s="20" t="n">
        <v>0</v>
      </c>
      <c r="E133" s="20">
        <f>C133+D133</f>
        <v/>
      </c>
      <c r="F133" s="20">
        <f>E133/(1+$B$136)^B133</f>
        <v/>
      </c>
      <c r="G133" s="20">
        <f>B133*F133</f>
        <v/>
      </c>
      <c r="H133" s="20">
        <f>E133*B133*(B133+1)/(1+$B$136)^(B133+2)</f>
        <v/>
      </c>
      <c r="I133" s="20">
        <f>B133*E133</f>
        <v/>
      </c>
    </row>
    <row r="134">
      <c r="A134" t="n">
        <v>4</v>
      </c>
      <c r="B134" s="20">
        <f>A134/1</f>
        <v/>
      </c>
      <c r="C134" s="20" t="n">
        <v>7</v>
      </c>
      <c r="D134" s="20" t="n">
        <v>100</v>
      </c>
      <c r="E134" s="20">
        <f>C134+D134</f>
        <v/>
      </c>
      <c r="F134" s="20">
        <f>E134/(1+$B$136)^B134</f>
        <v/>
      </c>
      <c r="G134" s="20">
        <f>B134*F134</f>
        <v/>
      </c>
      <c r="H134" s="20">
        <f>E134*B134*(B134+1)/(1+$B$136)^(B134+2)</f>
        <v/>
      </c>
      <c r="I134" s="20">
        <f>B134*E134</f>
        <v/>
      </c>
    </row>
    <row r="136">
      <c r="A136" s="5" t="inlineStr">
        <is>
          <t>TIR efectiva anual</t>
        </is>
      </c>
      <c r="B136" s="21">
        <f>(1+IRR(E130:E134))^1-1</f>
        <v/>
      </c>
    </row>
    <row r="137">
      <c r="A137" t="inlineStr">
        <is>
          <t>Precio</t>
        </is>
      </c>
      <c r="B137" s="20">
        <f>SUM(F131:F134)</f>
        <v/>
      </c>
    </row>
    <row r="138">
      <c r="A138" t="inlineStr">
        <is>
          <t>Duration</t>
        </is>
      </c>
      <c r="B138" s="20">
        <f>SUM(G131:G134)/B137</f>
        <v/>
      </c>
    </row>
    <row r="139">
      <c r="A139" t="inlineStr">
        <is>
          <t>DM = D/(1+TIR)</t>
        </is>
      </c>
      <c r="B139" s="20">
        <f>B138/(1+$B$136)</f>
        <v/>
      </c>
    </row>
    <row r="140">
      <c r="A140" t="inlineStr">
        <is>
          <t>Convexidad</t>
        </is>
      </c>
      <c r="B140" s="20">
        <f>SUM(H131:H134)/B137</f>
        <v/>
      </c>
    </row>
    <row r="141">
      <c r="A141" t="inlineStr">
        <is>
          <t>PPV</t>
        </is>
      </c>
      <c r="B141" s="20">
        <f>SUM(I131:I134)/SUM(E131:E134)</f>
        <v/>
      </c>
    </row>
    <row r="144">
      <c r="A144" s="3" t="inlineStr">
        <is>
          <t>Ejercicio 72</t>
        </is>
      </c>
      <c r="B144" s="3" t="inlineStr">
        <is>
          <t>Completo · Bullet semestral · TEA</t>
        </is>
      </c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>
      <c r="A145" s="5" t="inlineStr">
        <is>
          <t>Respuesta</t>
        </is>
      </c>
      <c r="C145" s="18">
        <f>$B$158</f>
        <v/>
      </c>
      <c r="D145" s="2" t="inlineStr">
        <is>
          <t>8,72 %</t>
        </is>
      </c>
    </row>
    <row r="146">
      <c r="A146" t="inlineStr">
        <is>
          <t>En Excel</t>
        </is>
      </c>
      <c r="C146" t="inlineStr">
        <is>
          <t>=TIR(flujos) da la tasa del período; TEA = (1+TIR)^2−1</t>
        </is>
      </c>
    </row>
    <row r="147" ht="30" customHeight="1">
      <c r="A147" t="inlineStr">
        <is>
          <t>Explicación</t>
        </is>
      </c>
      <c r="C147" s="8" t="inlineStr">
        <is>
          <t>TIR efectiva anual = 8,720 %. Precio = 101,200 · Duration = 2,6971 años · DM = 2,4808 · Convexidad = 8,836 · PPV = 2,7343.</t>
        </is>
      </c>
    </row>
    <row r="149">
      <c r="A149" s="19" t="inlineStr">
        <is>
          <t>Período</t>
        </is>
      </c>
      <c r="B149" s="19" t="inlineStr">
        <is>
          <t>t (años)</t>
        </is>
      </c>
      <c r="C149" s="19" t="inlineStr">
        <is>
          <t>Renta</t>
        </is>
      </c>
      <c r="D149" s="19" t="inlineStr">
        <is>
          <t>Amort.</t>
        </is>
      </c>
      <c r="E149" s="19" t="inlineStr">
        <is>
          <t>Flujo</t>
        </is>
      </c>
      <c r="F149" s="19" t="inlineStr">
        <is>
          <t>VA</t>
        </is>
      </c>
      <c r="G149" s="19" t="inlineStr">
        <is>
          <t>t · VA</t>
        </is>
      </c>
      <c r="H149" s="19" t="inlineStr">
        <is>
          <t>Convexidad</t>
        </is>
      </c>
      <c r="I149" s="19" t="inlineStr">
        <is>
          <t>t · Flujo</t>
        </is>
      </c>
    </row>
    <row r="150">
      <c r="A150" t="n">
        <v>0</v>
      </c>
      <c r="B150" t="n">
        <v>0</v>
      </c>
      <c r="E150" t="n">
        <v>-101.2</v>
      </c>
    </row>
    <row r="151">
      <c r="A151" t="n">
        <v>1</v>
      </c>
      <c r="B151" s="20">
        <f>A151/2</f>
        <v/>
      </c>
      <c r="C151" s="20" t="n">
        <v>4.5</v>
      </c>
      <c r="D151" s="20" t="n">
        <v>0</v>
      </c>
      <c r="E151" s="20">
        <f>C151+D151</f>
        <v/>
      </c>
      <c r="F151" s="20">
        <f>E151/(1+$B$158)^B151</f>
        <v/>
      </c>
      <c r="G151" s="20">
        <f>B151*F151</f>
        <v/>
      </c>
      <c r="H151" s="20">
        <f>E151*B151*(B151+1)/(1+$B$158)^(B151+2)</f>
        <v/>
      </c>
      <c r="I151" s="20">
        <f>B151*E151</f>
        <v/>
      </c>
    </row>
    <row r="152">
      <c r="A152" t="n">
        <v>2</v>
      </c>
      <c r="B152" s="20">
        <f>A152/2</f>
        <v/>
      </c>
      <c r="C152" s="20" t="n">
        <v>4.5</v>
      </c>
      <c r="D152" s="20" t="n">
        <v>0</v>
      </c>
      <c r="E152" s="20">
        <f>C152+D152</f>
        <v/>
      </c>
      <c r="F152" s="20">
        <f>E152/(1+$B$158)^B152</f>
        <v/>
      </c>
      <c r="G152" s="20">
        <f>B152*F152</f>
        <v/>
      </c>
      <c r="H152" s="20">
        <f>E152*B152*(B152+1)/(1+$B$158)^(B152+2)</f>
        <v/>
      </c>
      <c r="I152" s="20">
        <f>B152*E152</f>
        <v/>
      </c>
    </row>
    <row r="153">
      <c r="A153" t="n">
        <v>3</v>
      </c>
      <c r="B153" s="20">
        <f>A153/2</f>
        <v/>
      </c>
      <c r="C153" s="20" t="n">
        <v>4.5</v>
      </c>
      <c r="D153" s="20" t="n">
        <v>0</v>
      </c>
      <c r="E153" s="20">
        <f>C153+D153</f>
        <v/>
      </c>
      <c r="F153" s="20">
        <f>E153/(1+$B$158)^B153</f>
        <v/>
      </c>
      <c r="G153" s="20">
        <f>B153*F153</f>
        <v/>
      </c>
      <c r="H153" s="20">
        <f>E153*B153*(B153+1)/(1+$B$158)^(B153+2)</f>
        <v/>
      </c>
      <c r="I153" s="20">
        <f>B153*E153</f>
        <v/>
      </c>
    </row>
    <row r="154">
      <c r="A154" t="n">
        <v>4</v>
      </c>
      <c r="B154" s="20">
        <f>A154/2</f>
        <v/>
      </c>
      <c r="C154" s="20" t="n">
        <v>4.5</v>
      </c>
      <c r="D154" s="20" t="n">
        <v>0</v>
      </c>
      <c r="E154" s="20">
        <f>C154+D154</f>
        <v/>
      </c>
      <c r="F154" s="20">
        <f>E154/(1+$B$158)^B154</f>
        <v/>
      </c>
      <c r="G154" s="20">
        <f>B154*F154</f>
        <v/>
      </c>
      <c r="H154" s="20">
        <f>E154*B154*(B154+1)/(1+$B$158)^(B154+2)</f>
        <v/>
      </c>
      <c r="I154" s="20">
        <f>B154*E154</f>
        <v/>
      </c>
    </row>
    <row r="155">
      <c r="A155" t="n">
        <v>5</v>
      </c>
      <c r="B155" s="20">
        <f>A155/2</f>
        <v/>
      </c>
      <c r="C155" s="20" t="n">
        <v>4.5</v>
      </c>
      <c r="D155" s="20" t="n">
        <v>0</v>
      </c>
      <c r="E155" s="20">
        <f>C155+D155</f>
        <v/>
      </c>
      <c r="F155" s="20">
        <f>E155/(1+$B$158)^B155</f>
        <v/>
      </c>
      <c r="G155" s="20">
        <f>B155*F155</f>
        <v/>
      </c>
      <c r="H155" s="20">
        <f>E155*B155*(B155+1)/(1+$B$158)^(B155+2)</f>
        <v/>
      </c>
      <c r="I155" s="20">
        <f>B155*E155</f>
        <v/>
      </c>
    </row>
    <row r="156">
      <c r="A156" t="n">
        <v>6</v>
      </c>
      <c r="B156" s="20">
        <f>A156/2</f>
        <v/>
      </c>
      <c r="C156" s="20" t="n">
        <v>4.5</v>
      </c>
      <c r="D156" s="20" t="n">
        <v>100</v>
      </c>
      <c r="E156" s="20">
        <f>C156+D156</f>
        <v/>
      </c>
      <c r="F156" s="20">
        <f>E156/(1+$B$158)^B156</f>
        <v/>
      </c>
      <c r="G156" s="20">
        <f>B156*F156</f>
        <v/>
      </c>
      <c r="H156" s="20">
        <f>E156*B156*(B156+1)/(1+$B$158)^(B156+2)</f>
        <v/>
      </c>
      <c r="I156" s="20">
        <f>B156*E156</f>
        <v/>
      </c>
    </row>
    <row r="158">
      <c r="A158" s="5" t="inlineStr">
        <is>
          <t>TIR efectiva anual</t>
        </is>
      </c>
      <c r="B158" s="21">
        <f>(1+IRR(E150:E156))^2-1</f>
        <v/>
      </c>
    </row>
    <row r="159">
      <c r="A159" t="inlineStr">
        <is>
          <t>Precio</t>
        </is>
      </c>
      <c r="B159" s="20">
        <f>SUM(F151:F156)</f>
        <v/>
      </c>
    </row>
    <row r="160">
      <c r="A160" t="inlineStr">
        <is>
          <t>Duration</t>
        </is>
      </c>
      <c r="B160" s="20">
        <f>SUM(G151:G156)/B159</f>
        <v/>
      </c>
    </row>
    <row r="161">
      <c r="A161" t="inlineStr">
        <is>
          <t>DM = D/(1+TIR)</t>
        </is>
      </c>
      <c r="B161" s="20">
        <f>B160/(1+$B$158)</f>
        <v/>
      </c>
    </row>
    <row r="162">
      <c r="A162" t="inlineStr">
        <is>
          <t>Convexidad</t>
        </is>
      </c>
      <c r="B162" s="20">
        <f>SUM(H151:H156)/B159</f>
        <v/>
      </c>
    </row>
    <row r="163">
      <c r="A163" t="inlineStr">
        <is>
          <t>PPV</t>
        </is>
      </c>
      <c r="B163" s="20">
        <f>SUM(I151:I156)/SUM(E151:E156)</f>
        <v/>
      </c>
    </row>
    <row r="166">
      <c r="A166" s="3" t="inlineStr">
        <is>
          <t>Ejercicio 73</t>
        </is>
      </c>
      <c r="B166" s="3" t="inlineStr">
        <is>
          <t>Completo · Bullet semestral · TIR nominal</t>
        </is>
      </c>
      <c r="C166" s="7" t="n"/>
      <c r="D166" s="7" t="n"/>
      <c r="E166" s="7" t="n"/>
      <c r="F166" s="7" t="n"/>
      <c r="G166" s="7" t="n"/>
      <c r="H166" s="7" t="n"/>
      <c r="I166" s="7" t="n"/>
      <c r="J166" s="7" t="n"/>
    </row>
    <row r="167">
      <c r="A167" s="5" t="inlineStr">
        <is>
          <t>Respuesta</t>
        </is>
      </c>
      <c r="C167" s="18">
        <f>2*((1+$B$184)^(1/2)-1)</f>
        <v/>
      </c>
      <c r="D167" s="2" t="inlineStr">
        <is>
          <t>7,46 %</t>
        </is>
      </c>
    </row>
    <row r="168">
      <c r="A168" t="inlineStr">
        <is>
          <t>En Excel</t>
        </is>
      </c>
      <c r="C168" t="inlineStr">
        <is>
          <t>=TIR(flujos) da la tasa del período; TEA = (1+TIR)^2−1</t>
        </is>
      </c>
    </row>
    <row r="169" ht="30" customHeight="1">
      <c r="A169" t="inlineStr">
        <is>
          <t>Explicación</t>
        </is>
      </c>
      <c r="C169" s="8" t="inlineStr">
        <is>
          <t>TIR efectiva anual = 7,599 %. Precio = 94,000 · Duration = 4,3701 años · DM = 4,0615 · Convexidad = 21,698 · PPV = 4,4808. TIR nominal = 2 × ((1 + TEA)^(1/2) − 1).</t>
        </is>
      </c>
    </row>
    <row r="171">
      <c r="A171" s="19" t="inlineStr">
        <is>
          <t>Período</t>
        </is>
      </c>
      <c r="B171" s="19" t="inlineStr">
        <is>
          <t>t (años)</t>
        </is>
      </c>
      <c r="C171" s="19" t="inlineStr">
        <is>
          <t>Renta</t>
        </is>
      </c>
      <c r="D171" s="19" t="inlineStr">
        <is>
          <t>Amort.</t>
        </is>
      </c>
      <c r="E171" s="19" t="inlineStr">
        <is>
          <t>Flujo</t>
        </is>
      </c>
      <c r="F171" s="19" t="inlineStr">
        <is>
          <t>VA</t>
        </is>
      </c>
      <c r="G171" s="19" t="inlineStr">
        <is>
          <t>t · VA</t>
        </is>
      </c>
      <c r="H171" s="19" t="inlineStr">
        <is>
          <t>Convexidad</t>
        </is>
      </c>
      <c r="I171" s="19" t="inlineStr">
        <is>
          <t>t · Flujo</t>
        </is>
      </c>
    </row>
    <row r="172">
      <c r="A172" t="n">
        <v>0</v>
      </c>
      <c r="B172" t="n">
        <v>0</v>
      </c>
      <c r="E172" t="n">
        <v>-94</v>
      </c>
    </row>
    <row r="173">
      <c r="A173" t="n">
        <v>1</v>
      </c>
      <c r="B173" s="20">
        <f>A173/2</f>
        <v/>
      </c>
      <c r="C173" s="20" t="n">
        <v>3</v>
      </c>
      <c r="D173" s="20" t="n">
        <v>0</v>
      </c>
      <c r="E173" s="20">
        <f>C173+D173</f>
        <v/>
      </c>
      <c r="F173" s="20">
        <f>E173/(1+$B$184)^B173</f>
        <v/>
      </c>
      <c r="G173" s="20">
        <f>B173*F173</f>
        <v/>
      </c>
      <c r="H173" s="20">
        <f>E173*B173*(B173+1)/(1+$B$184)^(B173+2)</f>
        <v/>
      </c>
      <c r="I173" s="20">
        <f>B173*E173</f>
        <v/>
      </c>
    </row>
    <row r="174">
      <c r="A174" t="n">
        <v>2</v>
      </c>
      <c r="B174" s="20">
        <f>A174/2</f>
        <v/>
      </c>
      <c r="C174" s="20" t="n">
        <v>3</v>
      </c>
      <c r="D174" s="20" t="n">
        <v>0</v>
      </c>
      <c r="E174" s="20">
        <f>C174+D174</f>
        <v/>
      </c>
      <c r="F174" s="20">
        <f>E174/(1+$B$184)^B174</f>
        <v/>
      </c>
      <c r="G174" s="20">
        <f>B174*F174</f>
        <v/>
      </c>
      <c r="H174" s="20">
        <f>E174*B174*(B174+1)/(1+$B$184)^(B174+2)</f>
        <v/>
      </c>
      <c r="I174" s="20">
        <f>B174*E174</f>
        <v/>
      </c>
    </row>
    <row r="175">
      <c r="A175" t="n">
        <v>3</v>
      </c>
      <c r="B175" s="20">
        <f>A175/2</f>
        <v/>
      </c>
      <c r="C175" s="20" t="n">
        <v>3</v>
      </c>
      <c r="D175" s="20" t="n">
        <v>0</v>
      </c>
      <c r="E175" s="20">
        <f>C175+D175</f>
        <v/>
      </c>
      <c r="F175" s="20">
        <f>E175/(1+$B$184)^B175</f>
        <v/>
      </c>
      <c r="G175" s="20">
        <f>B175*F175</f>
        <v/>
      </c>
      <c r="H175" s="20">
        <f>E175*B175*(B175+1)/(1+$B$184)^(B175+2)</f>
        <v/>
      </c>
      <c r="I175" s="20">
        <f>B175*E175</f>
        <v/>
      </c>
    </row>
    <row r="176">
      <c r="A176" t="n">
        <v>4</v>
      </c>
      <c r="B176" s="20">
        <f>A176/2</f>
        <v/>
      </c>
      <c r="C176" s="20" t="n">
        <v>3</v>
      </c>
      <c r="D176" s="20" t="n">
        <v>0</v>
      </c>
      <c r="E176" s="20">
        <f>C176+D176</f>
        <v/>
      </c>
      <c r="F176" s="20">
        <f>E176/(1+$B$184)^B176</f>
        <v/>
      </c>
      <c r="G176" s="20">
        <f>B176*F176</f>
        <v/>
      </c>
      <c r="H176" s="20">
        <f>E176*B176*(B176+1)/(1+$B$184)^(B176+2)</f>
        <v/>
      </c>
      <c r="I176" s="20">
        <f>B176*E176</f>
        <v/>
      </c>
    </row>
    <row r="177">
      <c r="A177" t="n">
        <v>5</v>
      </c>
      <c r="B177" s="20">
        <f>A177/2</f>
        <v/>
      </c>
      <c r="C177" s="20" t="n">
        <v>3</v>
      </c>
      <c r="D177" s="20" t="n">
        <v>0</v>
      </c>
      <c r="E177" s="20">
        <f>C177+D177</f>
        <v/>
      </c>
      <c r="F177" s="20">
        <f>E177/(1+$B$184)^B177</f>
        <v/>
      </c>
      <c r="G177" s="20">
        <f>B177*F177</f>
        <v/>
      </c>
      <c r="H177" s="20">
        <f>E177*B177*(B177+1)/(1+$B$184)^(B177+2)</f>
        <v/>
      </c>
      <c r="I177" s="20">
        <f>B177*E177</f>
        <v/>
      </c>
    </row>
    <row r="178">
      <c r="A178" t="n">
        <v>6</v>
      </c>
      <c r="B178" s="20">
        <f>A178/2</f>
        <v/>
      </c>
      <c r="C178" s="20" t="n">
        <v>3</v>
      </c>
      <c r="D178" s="20" t="n">
        <v>0</v>
      </c>
      <c r="E178" s="20">
        <f>C178+D178</f>
        <v/>
      </c>
      <c r="F178" s="20">
        <f>E178/(1+$B$184)^B178</f>
        <v/>
      </c>
      <c r="G178" s="20">
        <f>B178*F178</f>
        <v/>
      </c>
      <c r="H178" s="20">
        <f>E178*B178*(B178+1)/(1+$B$184)^(B178+2)</f>
        <v/>
      </c>
      <c r="I178" s="20">
        <f>B178*E178</f>
        <v/>
      </c>
    </row>
    <row r="179">
      <c r="A179" t="n">
        <v>7</v>
      </c>
      <c r="B179" s="20">
        <f>A179/2</f>
        <v/>
      </c>
      <c r="C179" s="20" t="n">
        <v>3</v>
      </c>
      <c r="D179" s="20" t="n">
        <v>0</v>
      </c>
      <c r="E179" s="20">
        <f>C179+D179</f>
        <v/>
      </c>
      <c r="F179" s="20">
        <f>E179/(1+$B$184)^B179</f>
        <v/>
      </c>
      <c r="G179" s="20">
        <f>B179*F179</f>
        <v/>
      </c>
      <c r="H179" s="20">
        <f>E179*B179*(B179+1)/(1+$B$184)^(B179+2)</f>
        <v/>
      </c>
      <c r="I179" s="20">
        <f>B179*E179</f>
        <v/>
      </c>
    </row>
    <row r="180">
      <c r="A180" t="n">
        <v>8</v>
      </c>
      <c r="B180" s="20">
        <f>A180/2</f>
        <v/>
      </c>
      <c r="C180" s="20" t="n">
        <v>3</v>
      </c>
      <c r="D180" s="20" t="n">
        <v>0</v>
      </c>
      <c r="E180" s="20">
        <f>C180+D180</f>
        <v/>
      </c>
      <c r="F180" s="20">
        <f>E180/(1+$B$184)^B180</f>
        <v/>
      </c>
      <c r="G180" s="20">
        <f>B180*F180</f>
        <v/>
      </c>
      <c r="H180" s="20">
        <f>E180*B180*(B180+1)/(1+$B$184)^(B180+2)</f>
        <v/>
      </c>
      <c r="I180" s="20">
        <f>B180*E180</f>
        <v/>
      </c>
    </row>
    <row r="181">
      <c r="A181" t="n">
        <v>9</v>
      </c>
      <c r="B181" s="20">
        <f>A181/2</f>
        <v/>
      </c>
      <c r="C181" s="20" t="n">
        <v>3</v>
      </c>
      <c r="D181" s="20" t="n">
        <v>0</v>
      </c>
      <c r="E181" s="20">
        <f>C181+D181</f>
        <v/>
      </c>
      <c r="F181" s="20">
        <f>E181/(1+$B$184)^B181</f>
        <v/>
      </c>
      <c r="G181" s="20">
        <f>B181*F181</f>
        <v/>
      </c>
      <c r="H181" s="20">
        <f>E181*B181*(B181+1)/(1+$B$184)^(B181+2)</f>
        <v/>
      </c>
      <c r="I181" s="20">
        <f>B181*E181</f>
        <v/>
      </c>
    </row>
    <row r="182">
      <c r="A182" t="n">
        <v>10</v>
      </c>
      <c r="B182" s="20">
        <f>A182/2</f>
        <v/>
      </c>
      <c r="C182" s="20" t="n">
        <v>3</v>
      </c>
      <c r="D182" s="20" t="n">
        <v>100</v>
      </c>
      <c r="E182" s="20">
        <f>C182+D182</f>
        <v/>
      </c>
      <c r="F182" s="20">
        <f>E182/(1+$B$184)^B182</f>
        <v/>
      </c>
      <c r="G182" s="20">
        <f>B182*F182</f>
        <v/>
      </c>
      <c r="H182" s="20">
        <f>E182*B182*(B182+1)/(1+$B$184)^(B182+2)</f>
        <v/>
      </c>
      <c r="I182" s="20">
        <f>B182*E182</f>
        <v/>
      </c>
    </row>
    <row r="184">
      <c r="A184" s="5" t="inlineStr">
        <is>
          <t>TIR efectiva anual</t>
        </is>
      </c>
      <c r="B184" s="21">
        <f>(1+IRR(E172:E182))^2-1</f>
        <v/>
      </c>
    </row>
    <row r="185">
      <c r="A185" t="inlineStr">
        <is>
          <t>Precio</t>
        </is>
      </c>
      <c r="B185" s="20">
        <f>SUM(F173:F182)</f>
        <v/>
      </c>
    </row>
    <row r="186">
      <c r="A186" t="inlineStr">
        <is>
          <t>Duration</t>
        </is>
      </c>
      <c r="B186" s="20">
        <f>SUM(G173:G182)/B185</f>
        <v/>
      </c>
    </row>
    <row r="187">
      <c r="A187" t="inlineStr">
        <is>
          <t>DM = D/(1+TIR)</t>
        </is>
      </c>
      <c r="B187" s="20">
        <f>B186/(1+$B$184)</f>
        <v/>
      </c>
    </row>
    <row r="188">
      <c r="A188" t="inlineStr">
        <is>
          <t>Convexidad</t>
        </is>
      </c>
      <c r="B188" s="20">
        <f>SUM(H173:H182)/B185</f>
        <v/>
      </c>
    </row>
    <row r="189">
      <c r="A189" t="inlineStr">
        <is>
          <t>PPV</t>
        </is>
      </c>
      <c r="B189" s="20">
        <f>SUM(I173:I182)/SUM(E173:E182)</f>
        <v/>
      </c>
    </row>
    <row r="192">
      <c r="A192" s="3" t="inlineStr">
        <is>
          <t>Ejercicio 74</t>
        </is>
      </c>
      <c r="B192" s="3" t="inlineStr">
        <is>
          <t>Completo · Amortizable · precio</t>
        </is>
      </c>
      <c r="C192" s="7" t="n"/>
      <c r="D192" s="7" t="n"/>
      <c r="E192" s="7" t="n"/>
      <c r="F192" s="7" t="n"/>
      <c r="G192" s="7" t="n"/>
      <c r="H192" s="7" t="n"/>
      <c r="I192" s="7" t="n"/>
      <c r="J192" s="7" t="n"/>
    </row>
    <row r="193">
      <c r="A193" s="5" t="inlineStr">
        <is>
          <t>Respuesta</t>
        </is>
      </c>
      <c r="C193" s="22">
        <f>B205</f>
        <v/>
      </c>
      <c r="D193" s="2" t="inlineStr">
        <is>
          <t>95,85</t>
        </is>
      </c>
    </row>
    <row r="194">
      <c r="A194" t="inlineStr">
        <is>
          <t>En Excel</t>
        </is>
      </c>
      <c r="C194" t="inlineStr">
        <is>
          <t>VA de cada flujo = flujo/(1+TIR)^t; con eso, SUMAPRODUCTO para precio, duration o convexidad</t>
        </is>
      </c>
    </row>
    <row r="195" ht="30" customHeight="1">
      <c r="A195" t="inlineStr">
        <is>
          <t>Explicación</t>
        </is>
      </c>
      <c r="C195" s="8" t="inlineStr">
        <is>
          <t>TIR efectiva anual usada = 10,000 %. Precio = 95,849 · Duration = 2,2991 años · DM = 2,0901 · Convexidad = 7,277 · PPV = 2,4167.</t>
        </is>
      </c>
    </row>
    <row r="197">
      <c r="A197" s="19" t="inlineStr">
        <is>
          <t>Período</t>
        </is>
      </c>
      <c r="B197" s="19" t="inlineStr">
        <is>
          <t>t (años)</t>
        </is>
      </c>
      <c r="C197" s="19" t="inlineStr">
        <is>
          <t>Renta</t>
        </is>
      </c>
      <c r="D197" s="19" t="inlineStr">
        <is>
          <t>Amort.</t>
        </is>
      </c>
      <c r="E197" s="19" t="inlineStr">
        <is>
          <t>Flujo</t>
        </is>
      </c>
      <c r="F197" s="19" t="inlineStr">
        <is>
          <t>VA</t>
        </is>
      </c>
      <c r="G197" s="19" t="inlineStr">
        <is>
          <t>t · VA</t>
        </is>
      </c>
      <c r="H197" s="19" t="inlineStr">
        <is>
          <t>Convexidad</t>
        </is>
      </c>
      <c r="I197" s="19" t="inlineStr">
        <is>
          <t>t · Flujo</t>
        </is>
      </c>
    </row>
    <row r="198">
      <c r="A198" t="n">
        <v>0</v>
      </c>
      <c r="B198" t="n">
        <v>0</v>
      </c>
      <c r="E198" t="n">
        <v>0</v>
      </c>
    </row>
    <row r="199">
      <c r="A199" t="n">
        <v>1</v>
      </c>
      <c r="B199" s="20">
        <f>A199/1</f>
        <v/>
      </c>
      <c r="C199" s="20" t="n">
        <v>8</v>
      </c>
      <c r="D199" s="20" t="n">
        <v>25</v>
      </c>
      <c r="E199" s="20">
        <f>C199+D199</f>
        <v/>
      </c>
      <c r="F199" s="20">
        <f>E199/(1+$B$204)^B199</f>
        <v/>
      </c>
      <c r="G199" s="20">
        <f>B199*F199</f>
        <v/>
      </c>
      <c r="H199" s="20">
        <f>E199*B199*(B199+1)/(1+$B$204)^(B199+2)</f>
        <v/>
      </c>
      <c r="I199" s="20">
        <f>B199*E199</f>
        <v/>
      </c>
    </row>
    <row r="200">
      <c r="A200" t="n">
        <v>2</v>
      </c>
      <c r="B200" s="20">
        <f>A200/1</f>
        <v/>
      </c>
      <c r="C200" s="20" t="n">
        <v>6</v>
      </c>
      <c r="D200" s="20" t="n">
        <v>25</v>
      </c>
      <c r="E200" s="20">
        <f>C200+D200</f>
        <v/>
      </c>
      <c r="F200" s="20">
        <f>E200/(1+$B$204)^B200</f>
        <v/>
      </c>
      <c r="G200" s="20">
        <f>B200*F200</f>
        <v/>
      </c>
      <c r="H200" s="20">
        <f>E200*B200*(B200+1)/(1+$B$204)^(B200+2)</f>
        <v/>
      </c>
      <c r="I200" s="20">
        <f>B200*E200</f>
        <v/>
      </c>
    </row>
    <row r="201">
      <c r="A201" t="n">
        <v>3</v>
      </c>
      <c r="B201" s="20">
        <f>A201/1</f>
        <v/>
      </c>
      <c r="C201" s="20" t="n">
        <v>4</v>
      </c>
      <c r="D201" s="20" t="n">
        <v>25</v>
      </c>
      <c r="E201" s="20">
        <f>C201+D201</f>
        <v/>
      </c>
      <c r="F201" s="20">
        <f>E201/(1+$B$204)^B201</f>
        <v/>
      </c>
      <c r="G201" s="20">
        <f>B201*F201</f>
        <v/>
      </c>
      <c r="H201" s="20">
        <f>E201*B201*(B201+1)/(1+$B$204)^(B201+2)</f>
        <v/>
      </c>
      <c r="I201" s="20">
        <f>B201*E201</f>
        <v/>
      </c>
    </row>
    <row r="202">
      <c r="A202" t="n">
        <v>4</v>
      </c>
      <c r="B202" s="20">
        <f>A202/1</f>
        <v/>
      </c>
      <c r="C202" s="20" t="n">
        <v>2</v>
      </c>
      <c r="D202" s="20" t="n">
        <v>25</v>
      </c>
      <c r="E202" s="20">
        <f>C202+D202</f>
        <v/>
      </c>
      <c r="F202" s="20">
        <f>E202/(1+$B$204)^B202</f>
        <v/>
      </c>
      <c r="G202" s="20">
        <f>B202*F202</f>
        <v/>
      </c>
      <c r="H202" s="20">
        <f>E202*B202*(B202+1)/(1+$B$204)^(B202+2)</f>
        <v/>
      </c>
      <c r="I202" s="20">
        <f>B202*E202</f>
        <v/>
      </c>
    </row>
    <row r="204">
      <c r="A204" s="5" t="inlineStr">
        <is>
          <t>TIR efectiva anual</t>
        </is>
      </c>
      <c r="B204" s="21" t="n">
        <v>0.1</v>
      </c>
    </row>
    <row r="205">
      <c r="A205" t="inlineStr">
        <is>
          <t>Precio</t>
        </is>
      </c>
      <c r="B205" s="20">
        <f>SUM(F199:F202)</f>
        <v/>
      </c>
    </row>
    <row r="206">
      <c r="A206" t="inlineStr">
        <is>
          <t>Duration</t>
        </is>
      </c>
      <c r="B206" s="20">
        <f>SUM(G199:G202)/B205</f>
        <v/>
      </c>
    </row>
    <row r="207">
      <c r="A207" t="inlineStr">
        <is>
          <t>DM = D/(1+TIR)</t>
        </is>
      </c>
      <c r="B207" s="20">
        <f>B206/(1+$B$204)</f>
        <v/>
      </c>
    </row>
    <row r="208">
      <c r="A208" t="inlineStr">
        <is>
          <t>Convexidad</t>
        </is>
      </c>
      <c r="B208" s="20">
        <f>SUM(H199:H202)/B205</f>
        <v/>
      </c>
    </row>
    <row r="209">
      <c r="A209" t="inlineStr">
        <is>
          <t>PPV</t>
        </is>
      </c>
      <c r="B209" s="20">
        <f>SUM(I199:I202)/SUM(E199:E202)</f>
        <v/>
      </c>
    </row>
    <row r="212">
      <c r="A212" s="3" t="inlineStr">
        <is>
          <t>Ejercicio 75</t>
        </is>
      </c>
      <c r="B212" s="3" t="inlineStr">
        <is>
          <t>Completo · Amortizable con gracia · TEA</t>
        </is>
      </c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>
      <c r="A213" s="5" t="inlineStr">
        <is>
          <t>Respuesta</t>
        </is>
      </c>
      <c r="C213" s="18">
        <f>$B$230</f>
        <v/>
      </c>
      <c r="D213" s="2" t="inlineStr">
        <is>
          <t>8,81 %</t>
        </is>
      </c>
    </row>
    <row r="214">
      <c r="A214" t="inlineStr">
        <is>
          <t>En Excel</t>
        </is>
      </c>
      <c r="C214" t="inlineStr">
        <is>
          <t>=TIR(flujos) da la tasa del período; TEA = (1+TIR)^2−1</t>
        </is>
      </c>
    </row>
    <row r="215" ht="30" customHeight="1">
      <c r="A215" t="inlineStr">
        <is>
          <t>Explicación</t>
        </is>
      </c>
      <c r="C215" s="8" t="inlineStr">
        <is>
          <t>TIR efectiva anual = 8,813 %. Precio = 88,000 · Duration = 3,6241 años · DM = 3,3306 · Convexidad = 15,142 · PPV = 3,7188.</t>
        </is>
      </c>
    </row>
    <row r="217">
      <c r="A217" s="19" t="inlineStr">
        <is>
          <t>Período</t>
        </is>
      </c>
      <c r="B217" s="19" t="inlineStr">
        <is>
          <t>t (años)</t>
        </is>
      </c>
      <c r="C217" s="19" t="inlineStr">
        <is>
          <t>Renta</t>
        </is>
      </c>
      <c r="D217" s="19" t="inlineStr">
        <is>
          <t>Amort.</t>
        </is>
      </c>
      <c r="E217" s="19" t="inlineStr">
        <is>
          <t>Flujo</t>
        </is>
      </c>
      <c r="F217" s="19" t="inlineStr">
        <is>
          <t>VA</t>
        </is>
      </c>
      <c r="G217" s="19" t="inlineStr">
        <is>
          <t>t · VA</t>
        </is>
      </c>
      <c r="H217" s="19" t="inlineStr">
        <is>
          <t>Convexidad</t>
        </is>
      </c>
      <c r="I217" s="19" t="inlineStr">
        <is>
          <t>t · Flujo</t>
        </is>
      </c>
    </row>
    <row r="218">
      <c r="A218" t="n">
        <v>0</v>
      </c>
      <c r="B218" t="n">
        <v>0</v>
      </c>
      <c r="E218" t="n">
        <v>-88</v>
      </c>
    </row>
    <row r="219">
      <c r="A219" t="n">
        <v>1</v>
      </c>
      <c r="B219" s="20">
        <f>A219/2</f>
        <v/>
      </c>
      <c r="C219" s="20" t="n">
        <v>2.5</v>
      </c>
      <c r="D219" s="20" t="n">
        <v>0</v>
      </c>
      <c r="E219" s="20">
        <f>C219+D219</f>
        <v/>
      </c>
      <c r="F219" s="20">
        <f>E219/(1+$B$230)^B219</f>
        <v/>
      </c>
      <c r="G219" s="20">
        <f>B219*F219</f>
        <v/>
      </c>
      <c r="H219" s="20">
        <f>E219*B219*(B219+1)/(1+$B$230)^(B219+2)</f>
        <v/>
      </c>
      <c r="I219" s="20">
        <f>B219*E219</f>
        <v/>
      </c>
    </row>
    <row r="220">
      <c r="A220" t="n">
        <v>2</v>
      </c>
      <c r="B220" s="20">
        <f>A220/2</f>
        <v/>
      </c>
      <c r="C220" s="20" t="n">
        <v>2.5</v>
      </c>
      <c r="D220" s="20" t="n">
        <v>0</v>
      </c>
      <c r="E220" s="20">
        <f>C220+D220</f>
        <v/>
      </c>
      <c r="F220" s="20">
        <f>E220/(1+$B$230)^B220</f>
        <v/>
      </c>
      <c r="G220" s="20">
        <f>B220*F220</f>
        <v/>
      </c>
      <c r="H220" s="20">
        <f>E220*B220*(B220+1)/(1+$B$230)^(B220+2)</f>
        <v/>
      </c>
      <c r="I220" s="20">
        <f>B220*E220</f>
        <v/>
      </c>
    </row>
    <row r="221">
      <c r="A221" t="n">
        <v>3</v>
      </c>
      <c r="B221" s="20">
        <f>A221/2</f>
        <v/>
      </c>
      <c r="C221" s="20" t="n">
        <v>2.5</v>
      </c>
      <c r="D221" s="20" t="n">
        <v>0</v>
      </c>
      <c r="E221" s="20">
        <f>C221+D221</f>
        <v/>
      </c>
      <c r="F221" s="20">
        <f>E221/(1+$B$230)^B221</f>
        <v/>
      </c>
      <c r="G221" s="20">
        <f>B221*F221</f>
        <v/>
      </c>
      <c r="H221" s="20">
        <f>E221*B221*(B221+1)/(1+$B$230)^(B221+2)</f>
        <v/>
      </c>
      <c r="I221" s="20">
        <f>B221*E221</f>
        <v/>
      </c>
    </row>
    <row r="222">
      <c r="A222" t="n">
        <v>4</v>
      </c>
      <c r="B222" s="20">
        <f>A222/2</f>
        <v/>
      </c>
      <c r="C222" s="20" t="n">
        <v>2.5</v>
      </c>
      <c r="D222" s="20" t="n">
        <v>0</v>
      </c>
      <c r="E222" s="20">
        <f>C222+D222</f>
        <v/>
      </c>
      <c r="F222" s="20">
        <f>E222/(1+$B$230)^B222</f>
        <v/>
      </c>
      <c r="G222" s="20">
        <f>B222*F222</f>
        <v/>
      </c>
      <c r="H222" s="20">
        <f>E222*B222*(B222+1)/(1+$B$230)^(B222+2)</f>
        <v/>
      </c>
      <c r="I222" s="20">
        <f>B222*E222</f>
        <v/>
      </c>
    </row>
    <row r="223">
      <c r="A223" t="n">
        <v>5</v>
      </c>
      <c r="B223" s="20">
        <f>A223/2</f>
        <v/>
      </c>
      <c r="C223" s="20" t="n">
        <v>2.5</v>
      </c>
      <c r="D223" s="20" t="n">
        <v>0</v>
      </c>
      <c r="E223" s="20">
        <f>C223+D223</f>
        <v/>
      </c>
      <c r="F223" s="20">
        <f>E223/(1+$B$230)^B223</f>
        <v/>
      </c>
      <c r="G223" s="20">
        <f>B223*F223</f>
        <v/>
      </c>
      <c r="H223" s="20">
        <f>E223*B223*(B223+1)/(1+$B$230)^(B223+2)</f>
        <v/>
      </c>
      <c r="I223" s="20">
        <f>B223*E223</f>
        <v/>
      </c>
    </row>
    <row r="224">
      <c r="A224" t="n">
        <v>6</v>
      </c>
      <c r="B224" s="20">
        <f>A224/2</f>
        <v/>
      </c>
      <c r="C224" s="20" t="n">
        <v>2.5</v>
      </c>
      <c r="D224" s="20" t="n">
        <v>20</v>
      </c>
      <c r="E224" s="20">
        <f>C224+D224</f>
        <v/>
      </c>
      <c r="F224" s="20">
        <f>E224/(1+$B$230)^B224</f>
        <v/>
      </c>
      <c r="G224" s="20">
        <f>B224*F224</f>
        <v/>
      </c>
      <c r="H224" s="20">
        <f>E224*B224*(B224+1)/(1+$B$230)^(B224+2)</f>
        <v/>
      </c>
      <c r="I224" s="20">
        <f>B224*E224</f>
        <v/>
      </c>
    </row>
    <row r="225">
      <c r="A225" t="n">
        <v>7</v>
      </c>
      <c r="B225" s="20">
        <f>A225/2</f>
        <v/>
      </c>
      <c r="C225" s="20" t="n">
        <v>2</v>
      </c>
      <c r="D225" s="20" t="n">
        <v>20</v>
      </c>
      <c r="E225" s="20">
        <f>C225+D225</f>
        <v/>
      </c>
      <c r="F225" s="20">
        <f>E225/(1+$B$230)^B225</f>
        <v/>
      </c>
      <c r="G225" s="20">
        <f>B225*F225</f>
        <v/>
      </c>
      <c r="H225" s="20">
        <f>E225*B225*(B225+1)/(1+$B$230)^(B225+2)</f>
        <v/>
      </c>
      <c r="I225" s="20">
        <f>B225*E225</f>
        <v/>
      </c>
    </row>
    <row r="226">
      <c r="A226" t="n">
        <v>8</v>
      </c>
      <c r="B226" s="20">
        <f>A226/2</f>
        <v/>
      </c>
      <c r="C226" s="20" t="n">
        <v>1.5</v>
      </c>
      <c r="D226" s="20" t="n">
        <v>20</v>
      </c>
      <c r="E226" s="20">
        <f>C226+D226</f>
        <v/>
      </c>
      <c r="F226" s="20">
        <f>E226/(1+$B$230)^B226</f>
        <v/>
      </c>
      <c r="G226" s="20">
        <f>B226*F226</f>
        <v/>
      </c>
      <c r="H226" s="20">
        <f>E226*B226*(B226+1)/(1+$B$230)^(B226+2)</f>
        <v/>
      </c>
      <c r="I226" s="20">
        <f>B226*E226</f>
        <v/>
      </c>
    </row>
    <row r="227">
      <c r="A227" t="n">
        <v>9</v>
      </c>
      <c r="B227" s="20">
        <f>A227/2</f>
        <v/>
      </c>
      <c r="C227" s="20" t="n">
        <v>1</v>
      </c>
      <c r="D227" s="20" t="n">
        <v>20</v>
      </c>
      <c r="E227" s="20">
        <f>C227+D227</f>
        <v/>
      </c>
      <c r="F227" s="20">
        <f>E227/(1+$B$230)^B227</f>
        <v/>
      </c>
      <c r="G227" s="20">
        <f>B227*F227</f>
        <v/>
      </c>
      <c r="H227" s="20">
        <f>E227*B227*(B227+1)/(1+$B$230)^(B227+2)</f>
        <v/>
      </c>
      <c r="I227" s="20">
        <f>B227*E227</f>
        <v/>
      </c>
    </row>
    <row r="228">
      <c r="A228" t="n">
        <v>10</v>
      </c>
      <c r="B228" s="20">
        <f>A228/2</f>
        <v/>
      </c>
      <c r="C228" s="20" t="n">
        <v>0.5</v>
      </c>
      <c r="D228" s="20" t="n">
        <v>20</v>
      </c>
      <c r="E228" s="20">
        <f>C228+D228</f>
        <v/>
      </c>
      <c r="F228" s="20">
        <f>E228/(1+$B$230)^B228</f>
        <v/>
      </c>
      <c r="G228" s="20">
        <f>B228*F228</f>
        <v/>
      </c>
      <c r="H228" s="20">
        <f>E228*B228*(B228+1)/(1+$B$230)^(B228+2)</f>
        <v/>
      </c>
      <c r="I228" s="20">
        <f>B228*E228</f>
        <v/>
      </c>
    </row>
    <row r="230">
      <c r="A230" s="5" t="inlineStr">
        <is>
          <t>TIR efectiva anual</t>
        </is>
      </c>
      <c r="B230" s="21">
        <f>(1+IRR(E218:E228))^2-1</f>
        <v/>
      </c>
    </row>
    <row r="231">
      <c r="A231" t="inlineStr">
        <is>
          <t>Precio</t>
        </is>
      </c>
      <c r="B231" s="20">
        <f>SUM(F219:F228)</f>
        <v/>
      </c>
    </row>
    <row r="232">
      <c r="A232" t="inlineStr">
        <is>
          <t>Duration</t>
        </is>
      </c>
      <c r="B232" s="20">
        <f>SUM(G219:G228)/B231</f>
        <v/>
      </c>
    </row>
    <row r="233">
      <c r="A233" t="inlineStr">
        <is>
          <t>DM = D/(1+TIR)</t>
        </is>
      </c>
      <c r="B233" s="20">
        <f>B232/(1+$B$230)</f>
        <v/>
      </c>
    </row>
    <row r="234">
      <c r="A234" t="inlineStr">
        <is>
          <t>Convexidad</t>
        </is>
      </c>
      <c r="B234" s="20">
        <f>SUM(H219:H228)/B231</f>
        <v/>
      </c>
    </row>
    <row r="235">
      <c r="A235" t="inlineStr">
        <is>
          <t>PPV</t>
        </is>
      </c>
      <c r="B235" s="20">
        <f>SUM(I219:I228)/SUM(E219:E228)</f>
        <v/>
      </c>
    </row>
    <row r="238">
      <c r="A238" s="3" t="inlineStr">
        <is>
          <t>Ejercicio 76</t>
        </is>
      </c>
      <c r="B238" s="3" t="inlineStr">
        <is>
          <t>Completo · Duration de un bullet</t>
        </is>
      </c>
      <c r="C238" s="7" t="n"/>
      <c r="D238" s="7" t="n"/>
      <c r="E238" s="7" t="n"/>
      <c r="F238" s="7" t="n"/>
      <c r="G238" s="7" t="n"/>
      <c r="H238" s="7" t="n"/>
      <c r="I238" s="7" t="n"/>
      <c r="J238" s="7" t="n"/>
    </row>
    <row r="239">
      <c r="A239" s="5" t="inlineStr">
        <is>
          <t>Respuesta</t>
        </is>
      </c>
      <c r="C239" s="22">
        <f>B253</f>
        <v/>
      </c>
      <c r="D239" s="2" t="inlineStr">
        <is>
          <t>4,439</t>
        </is>
      </c>
    </row>
    <row r="240">
      <c r="A240" t="inlineStr">
        <is>
          <t>En Excel</t>
        </is>
      </c>
      <c r="C240" t="inlineStr">
        <is>
          <t>VA de cada flujo = flujo/(1+TIR)^t; con eso, SUMAPRODUCTO para precio, duration o convexidad</t>
        </is>
      </c>
    </row>
    <row r="241" ht="30" customHeight="1">
      <c r="A241" t="inlineStr">
        <is>
          <t>Explicación</t>
        </is>
      </c>
      <c r="C241" s="8" t="inlineStr">
        <is>
          <t>TIR efectiva anual usada = 8,000 %. Precio = 92,015 · Duration = 4,4393 años · DM = 4,1105 · Convexidad = 21,911 · PPV = 4,5385.</t>
        </is>
      </c>
    </row>
    <row r="243">
      <c r="A243" s="19" t="inlineStr">
        <is>
          <t>Período</t>
        </is>
      </c>
      <c r="B243" s="19" t="inlineStr">
        <is>
          <t>t (años)</t>
        </is>
      </c>
      <c r="C243" s="19" t="inlineStr">
        <is>
          <t>Renta</t>
        </is>
      </c>
      <c r="D243" s="19" t="inlineStr">
        <is>
          <t>Amort.</t>
        </is>
      </c>
      <c r="E243" s="19" t="inlineStr">
        <is>
          <t>Flujo</t>
        </is>
      </c>
      <c r="F243" s="19" t="inlineStr">
        <is>
          <t>VA</t>
        </is>
      </c>
      <c r="G243" s="19" t="inlineStr">
        <is>
          <t>t · VA</t>
        </is>
      </c>
      <c r="H243" s="19" t="inlineStr">
        <is>
          <t>Convexidad</t>
        </is>
      </c>
      <c r="I243" s="19" t="inlineStr">
        <is>
          <t>t · Flujo</t>
        </is>
      </c>
    </row>
    <row r="244">
      <c r="A244" t="n">
        <v>0</v>
      </c>
      <c r="B244" t="n">
        <v>0</v>
      </c>
      <c r="E244" t="n">
        <v>0</v>
      </c>
    </row>
    <row r="245">
      <c r="A245" t="n">
        <v>1</v>
      </c>
      <c r="B245" s="20">
        <f>A245/1</f>
        <v/>
      </c>
      <c r="C245" s="20" t="n">
        <v>6</v>
      </c>
      <c r="D245" s="20" t="n">
        <v>0</v>
      </c>
      <c r="E245" s="20">
        <f>C245+D245</f>
        <v/>
      </c>
      <c r="F245" s="20">
        <f>E245/(1+$B$251)^B245</f>
        <v/>
      </c>
      <c r="G245" s="20">
        <f>B245*F245</f>
        <v/>
      </c>
      <c r="H245" s="20">
        <f>E245*B245*(B245+1)/(1+$B$251)^(B245+2)</f>
        <v/>
      </c>
      <c r="I245" s="20">
        <f>B245*E245</f>
        <v/>
      </c>
    </row>
    <row r="246">
      <c r="A246" t="n">
        <v>2</v>
      </c>
      <c r="B246" s="20">
        <f>A246/1</f>
        <v/>
      </c>
      <c r="C246" s="20" t="n">
        <v>6</v>
      </c>
      <c r="D246" s="20" t="n">
        <v>0</v>
      </c>
      <c r="E246" s="20">
        <f>C246+D246</f>
        <v/>
      </c>
      <c r="F246" s="20">
        <f>E246/(1+$B$251)^B246</f>
        <v/>
      </c>
      <c r="G246" s="20">
        <f>B246*F246</f>
        <v/>
      </c>
      <c r="H246" s="20">
        <f>E246*B246*(B246+1)/(1+$B$251)^(B246+2)</f>
        <v/>
      </c>
      <c r="I246" s="20">
        <f>B246*E246</f>
        <v/>
      </c>
    </row>
    <row r="247">
      <c r="A247" t="n">
        <v>3</v>
      </c>
      <c r="B247" s="20">
        <f>A247/1</f>
        <v/>
      </c>
      <c r="C247" s="20" t="n">
        <v>6</v>
      </c>
      <c r="D247" s="20" t="n">
        <v>0</v>
      </c>
      <c r="E247" s="20">
        <f>C247+D247</f>
        <v/>
      </c>
      <c r="F247" s="20">
        <f>E247/(1+$B$251)^B247</f>
        <v/>
      </c>
      <c r="G247" s="20">
        <f>B247*F247</f>
        <v/>
      </c>
      <c r="H247" s="20">
        <f>E247*B247*(B247+1)/(1+$B$251)^(B247+2)</f>
        <v/>
      </c>
      <c r="I247" s="20">
        <f>B247*E247</f>
        <v/>
      </c>
    </row>
    <row r="248">
      <c r="A248" t="n">
        <v>4</v>
      </c>
      <c r="B248" s="20">
        <f>A248/1</f>
        <v/>
      </c>
      <c r="C248" s="20" t="n">
        <v>6</v>
      </c>
      <c r="D248" s="20" t="n">
        <v>0</v>
      </c>
      <c r="E248" s="20">
        <f>C248+D248</f>
        <v/>
      </c>
      <c r="F248" s="20">
        <f>E248/(1+$B$251)^B248</f>
        <v/>
      </c>
      <c r="G248" s="20">
        <f>B248*F248</f>
        <v/>
      </c>
      <c r="H248" s="20">
        <f>E248*B248*(B248+1)/(1+$B$251)^(B248+2)</f>
        <v/>
      </c>
      <c r="I248" s="20">
        <f>B248*E248</f>
        <v/>
      </c>
    </row>
    <row r="249">
      <c r="A249" t="n">
        <v>5</v>
      </c>
      <c r="B249" s="20">
        <f>A249/1</f>
        <v/>
      </c>
      <c r="C249" s="20" t="n">
        <v>6</v>
      </c>
      <c r="D249" s="20" t="n">
        <v>100</v>
      </c>
      <c r="E249" s="20">
        <f>C249+D249</f>
        <v/>
      </c>
      <c r="F249" s="20">
        <f>E249/(1+$B$251)^B249</f>
        <v/>
      </c>
      <c r="G249" s="20">
        <f>B249*F249</f>
        <v/>
      </c>
      <c r="H249" s="20">
        <f>E249*B249*(B249+1)/(1+$B$251)^(B249+2)</f>
        <v/>
      </c>
      <c r="I249" s="20">
        <f>B249*E249</f>
        <v/>
      </c>
    </row>
    <row r="251">
      <c r="A251" s="5" t="inlineStr">
        <is>
          <t>TIR efectiva anual</t>
        </is>
      </c>
      <c r="B251" s="21" t="n">
        <v>0.08</v>
      </c>
    </row>
    <row r="252">
      <c r="A252" t="inlineStr">
        <is>
          <t>Precio</t>
        </is>
      </c>
      <c r="B252" s="20">
        <f>SUM(F245:F249)</f>
        <v/>
      </c>
    </row>
    <row r="253">
      <c r="A253" t="inlineStr">
        <is>
          <t>Duration</t>
        </is>
      </c>
      <c r="B253" s="20">
        <f>SUM(G245:G249)/B252</f>
        <v/>
      </c>
    </row>
    <row r="254">
      <c r="A254" t="inlineStr">
        <is>
          <t>DM = D/(1+TIR)</t>
        </is>
      </c>
      <c r="B254" s="20">
        <f>B253/(1+$B$251)</f>
        <v/>
      </c>
    </row>
    <row r="255">
      <c r="A255" t="inlineStr">
        <is>
          <t>Convexidad</t>
        </is>
      </c>
      <c r="B255" s="20">
        <f>SUM(H245:H249)/B252</f>
        <v/>
      </c>
    </row>
    <row r="256">
      <c r="A256" t="inlineStr">
        <is>
          <t>PPV</t>
        </is>
      </c>
      <c r="B256" s="20">
        <f>SUM(I245:I249)/SUM(E245:E249)</f>
        <v/>
      </c>
    </row>
    <row r="259">
      <c r="A259" s="3" t="inlineStr">
        <is>
          <t>Ejercicio 77</t>
        </is>
      </c>
      <c r="B259" s="3" t="inlineStr">
        <is>
          <t>Completo · Duration modificada semestral</t>
        </is>
      </c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>
      <c r="A260" s="5" t="inlineStr">
        <is>
          <t>Respuesta</t>
        </is>
      </c>
      <c r="C260" s="22">
        <f>B275/(1+0.12/2)</f>
        <v/>
      </c>
      <c r="D260" s="2" t="inlineStr">
        <is>
          <t>2,505</t>
        </is>
      </c>
    </row>
    <row r="261">
      <c r="A261" t="inlineStr">
        <is>
          <t>En Excel</t>
        </is>
      </c>
      <c r="C261" t="inlineStr">
        <is>
          <t>VA de cada flujo = flujo/(1+TIR)^t; con eso, SUMAPRODUCTO para precio, duration o convexidad</t>
        </is>
      </c>
    </row>
    <row r="262" ht="45" customHeight="1">
      <c r="A262" t="inlineStr">
        <is>
          <t>Explicación</t>
        </is>
      </c>
      <c r="C262" s="8" t="inlineStr">
        <is>
          <t>TIR efectiva anual usada = 12,360 % (equivale a 12,00 % nominal anual cap. semestral). Precio = 95,083 · Duration = 2,6548 años · DM = 2,3628 · Convexidad = 8,105 · PPV = 2,7115. DM = D / (1 + 12%/2).</t>
        </is>
      </c>
    </row>
    <row r="264">
      <c r="A264" s="19" t="inlineStr">
        <is>
          <t>Período</t>
        </is>
      </c>
      <c r="B264" s="19" t="inlineStr">
        <is>
          <t>t (años)</t>
        </is>
      </c>
      <c r="C264" s="19" t="inlineStr">
        <is>
          <t>Renta</t>
        </is>
      </c>
      <c r="D264" s="19" t="inlineStr">
        <is>
          <t>Amort.</t>
        </is>
      </c>
      <c r="E264" s="19" t="inlineStr">
        <is>
          <t>Flujo</t>
        </is>
      </c>
      <c r="F264" s="19" t="inlineStr">
        <is>
          <t>VA</t>
        </is>
      </c>
      <c r="G264" s="19" t="inlineStr">
        <is>
          <t>t · VA</t>
        </is>
      </c>
      <c r="H264" s="19" t="inlineStr">
        <is>
          <t>Convexidad</t>
        </is>
      </c>
      <c r="I264" s="19" t="inlineStr">
        <is>
          <t>t · Flujo</t>
        </is>
      </c>
    </row>
    <row r="265">
      <c r="A265" t="n">
        <v>0</v>
      </c>
      <c r="B265" t="n">
        <v>0</v>
      </c>
      <c r="E265" t="n">
        <v>0</v>
      </c>
    </row>
    <row r="266">
      <c r="A266" t="n">
        <v>1</v>
      </c>
      <c r="B266" s="20">
        <f>A266/2</f>
        <v/>
      </c>
      <c r="C266" s="20" t="n">
        <v>5</v>
      </c>
      <c r="D266" s="20" t="n">
        <v>0</v>
      </c>
      <c r="E266" s="20">
        <f>C266+D266</f>
        <v/>
      </c>
      <c r="F266" s="20">
        <f>E266/(1+$B$273)^B266</f>
        <v/>
      </c>
      <c r="G266" s="20">
        <f>B266*F266</f>
        <v/>
      </c>
      <c r="H266" s="20">
        <f>E266*B266*(B266+1)/(1+$B$273)^(B266+2)</f>
        <v/>
      </c>
      <c r="I266" s="20">
        <f>B266*E266</f>
        <v/>
      </c>
    </row>
    <row r="267">
      <c r="A267" t="n">
        <v>2</v>
      </c>
      <c r="B267" s="20">
        <f>A267/2</f>
        <v/>
      </c>
      <c r="C267" s="20" t="n">
        <v>5</v>
      </c>
      <c r="D267" s="20" t="n">
        <v>0</v>
      </c>
      <c r="E267" s="20">
        <f>C267+D267</f>
        <v/>
      </c>
      <c r="F267" s="20">
        <f>E267/(1+$B$273)^B267</f>
        <v/>
      </c>
      <c r="G267" s="20">
        <f>B267*F267</f>
        <v/>
      </c>
      <c r="H267" s="20">
        <f>E267*B267*(B267+1)/(1+$B$273)^(B267+2)</f>
        <v/>
      </c>
      <c r="I267" s="20">
        <f>B267*E267</f>
        <v/>
      </c>
    </row>
    <row r="268">
      <c r="A268" t="n">
        <v>3</v>
      </c>
      <c r="B268" s="20">
        <f>A268/2</f>
        <v/>
      </c>
      <c r="C268" s="20" t="n">
        <v>5</v>
      </c>
      <c r="D268" s="20" t="n">
        <v>0</v>
      </c>
      <c r="E268" s="20">
        <f>C268+D268</f>
        <v/>
      </c>
      <c r="F268" s="20">
        <f>E268/(1+$B$273)^B268</f>
        <v/>
      </c>
      <c r="G268" s="20">
        <f>B268*F268</f>
        <v/>
      </c>
      <c r="H268" s="20">
        <f>E268*B268*(B268+1)/(1+$B$273)^(B268+2)</f>
        <v/>
      </c>
      <c r="I268" s="20">
        <f>B268*E268</f>
        <v/>
      </c>
    </row>
    <row r="269">
      <c r="A269" t="n">
        <v>4</v>
      </c>
      <c r="B269" s="20">
        <f>A269/2</f>
        <v/>
      </c>
      <c r="C269" s="20" t="n">
        <v>5</v>
      </c>
      <c r="D269" s="20" t="n">
        <v>0</v>
      </c>
      <c r="E269" s="20">
        <f>C269+D269</f>
        <v/>
      </c>
      <c r="F269" s="20">
        <f>E269/(1+$B$273)^B269</f>
        <v/>
      </c>
      <c r="G269" s="20">
        <f>B269*F269</f>
        <v/>
      </c>
      <c r="H269" s="20">
        <f>E269*B269*(B269+1)/(1+$B$273)^(B269+2)</f>
        <v/>
      </c>
      <c r="I269" s="20">
        <f>B269*E269</f>
        <v/>
      </c>
    </row>
    <row r="270">
      <c r="A270" t="n">
        <v>5</v>
      </c>
      <c r="B270" s="20">
        <f>A270/2</f>
        <v/>
      </c>
      <c r="C270" s="20" t="n">
        <v>5</v>
      </c>
      <c r="D270" s="20" t="n">
        <v>0</v>
      </c>
      <c r="E270" s="20">
        <f>C270+D270</f>
        <v/>
      </c>
      <c r="F270" s="20">
        <f>E270/(1+$B$273)^B270</f>
        <v/>
      </c>
      <c r="G270" s="20">
        <f>B270*F270</f>
        <v/>
      </c>
      <c r="H270" s="20">
        <f>E270*B270*(B270+1)/(1+$B$273)^(B270+2)</f>
        <v/>
      </c>
      <c r="I270" s="20">
        <f>B270*E270</f>
        <v/>
      </c>
    </row>
    <row r="271">
      <c r="A271" t="n">
        <v>6</v>
      </c>
      <c r="B271" s="20">
        <f>A271/2</f>
        <v/>
      </c>
      <c r="C271" s="20" t="n">
        <v>5</v>
      </c>
      <c r="D271" s="20" t="n">
        <v>100</v>
      </c>
      <c r="E271" s="20">
        <f>C271+D271</f>
        <v/>
      </c>
      <c r="F271" s="20">
        <f>E271/(1+$B$273)^B271</f>
        <v/>
      </c>
      <c r="G271" s="20">
        <f>B271*F271</f>
        <v/>
      </c>
      <c r="H271" s="20">
        <f>E271*B271*(B271+1)/(1+$B$273)^(B271+2)</f>
        <v/>
      </c>
      <c r="I271" s="20">
        <f>B271*E271</f>
        <v/>
      </c>
    </row>
    <row r="273">
      <c r="A273" s="5" t="inlineStr">
        <is>
          <t>TIR efectiva anual</t>
        </is>
      </c>
      <c r="B273" s="21">
        <f>(1+0.12/2)^2-1</f>
        <v/>
      </c>
    </row>
    <row r="274">
      <c r="A274" t="inlineStr">
        <is>
          <t>Precio</t>
        </is>
      </c>
      <c r="B274" s="20">
        <f>SUM(F266:F271)</f>
        <v/>
      </c>
    </row>
    <row r="275">
      <c r="A275" t="inlineStr">
        <is>
          <t>Duration</t>
        </is>
      </c>
      <c r="B275" s="20">
        <f>SUM(G266:G271)/B274</f>
        <v/>
      </c>
    </row>
    <row r="276">
      <c r="A276" t="inlineStr">
        <is>
          <t>DM = D/(1+TIR)</t>
        </is>
      </c>
      <c r="B276" s="20">
        <f>B275/(1+$B$273)</f>
        <v/>
      </c>
    </row>
    <row r="277">
      <c r="A277" t="inlineStr">
        <is>
          <t>Convexidad</t>
        </is>
      </c>
      <c r="B277" s="20">
        <f>SUM(H266:H271)/B274</f>
        <v/>
      </c>
    </row>
    <row r="278">
      <c r="A278" t="inlineStr">
        <is>
          <t>PPV</t>
        </is>
      </c>
      <c r="B278" s="20">
        <f>SUM(I266:I271)/SUM(E266:E271)</f>
        <v/>
      </c>
    </row>
    <row r="281">
      <c r="A281" s="3" t="inlineStr">
        <is>
          <t>Ejercicio 78</t>
        </is>
      </c>
      <c r="B281" s="3" t="inlineStr">
        <is>
          <t>Completo · Convexidad</t>
        </is>
      </c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>
      <c r="A282" s="5" t="inlineStr">
        <is>
          <t>Respuesta</t>
        </is>
      </c>
      <c r="C282" s="22">
        <f>B297</f>
        <v/>
      </c>
      <c r="D282" s="2" t="inlineStr">
        <is>
          <t>15,17</t>
        </is>
      </c>
    </row>
    <row r="283">
      <c r="A283" t="inlineStr">
        <is>
          <t>En Excel</t>
        </is>
      </c>
      <c r="C283" t="inlineStr">
        <is>
          <t>VA de cada flujo = flujo/(1+TIR)^t; con eso, SUMAPRODUCTO para precio, duration o convexidad</t>
        </is>
      </c>
    </row>
    <row r="284" ht="30" customHeight="1">
      <c r="A284" t="inlineStr">
        <is>
          <t>Explicación</t>
        </is>
      </c>
      <c r="C284" s="8" t="inlineStr">
        <is>
          <t>TIR efectiva anual usada = 9,000 %. Precio = 87,041 · Duration = 3,7008 años · DM = 3,3953 · Convexidad = 15,167 · PPV = 3,7500.</t>
        </is>
      </c>
    </row>
    <row r="286">
      <c r="A286" s="19" t="inlineStr">
        <is>
          <t>Período</t>
        </is>
      </c>
      <c r="B286" s="19" t="inlineStr">
        <is>
          <t>t (años)</t>
        </is>
      </c>
      <c r="C286" s="19" t="inlineStr">
        <is>
          <t>Renta</t>
        </is>
      </c>
      <c r="D286" s="19" t="inlineStr">
        <is>
          <t>Amort.</t>
        </is>
      </c>
      <c r="E286" s="19" t="inlineStr">
        <is>
          <t>Flujo</t>
        </is>
      </c>
      <c r="F286" s="19" t="inlineStr">
        <is>
          <t>VA</t>
        </is>
      </c>
      <c r="G286" s="19" t="inlineStr">
        <is>
          <t>t · VA</t>
        </is>
      </c>
      <c r="H286" s="19" t="inlineStr">
        <is>
          <t>Convexidad</t>
        </is>
      </c>
      <c r="I286" s="19" t="inlineStr">
        <is>
          <t>t · Flujo</t>
        </is>
      </c>
    </row>
    <row r="287">
      <c r="A287" t="n">
        <v>0</v>
      </c>
      <c r="B287" t="n">
        <v>0</v>
      </c>
      <c r="E287" t="n">
        <v>0</v>
      </c>
    </row>
    <row r="288">
      <c r="A288" t="n">
        <v>1</v>
      </c>
      <c r="B288" s="20">
        <f>A288/1</f>
        <v/>
      </c>
      <c r="C288" s="20" t="n">
        <v>5</v>
      </c>
      <c r="D288" s="20" t="n">
        <v>0</v>
      </c>
      <c r="E288" s="20">
        <f>C288+D288</f>
        <v/>
      </c>
      <c r="F288" s="20">
        <f>E288/(1+$B$293)^B288</f>
        <v/>
      </c>
      <c r="G288" s="20">
        <f>B288*F288</f>
        <v/>
      </c>
      <c r="H288" s="20">
        <f>E288*B288*(B288+1)/(1+$B$293)^(B288+2)</f>
        <v/>
      </c>
      <c r="I288" s="20">
        <f>B288*E288</f>
        <v/>
      </c>
    </row>
    <row r="289">
      <c r="A289" t="n">
        <v>2</v>
      </c>
      <c r="B289" s="20">
        <f>A289/1</f>
        <v/>
      </c>
      <c r="C289" s="20" t="n">
        <v>5</v>
      </c>
      <c r="D289" s="20" t="n">
        <v>0</v>
      </c>
      <c r="E289" s="20">
        <f>C289+D289</f>
        <v/>
      </c>
      <c r="F289" s="20">
        <f>E289/(1+$B$293)^B289</f>
        <v/>
      </c>
      <c r="G289" s="20">
        <f>B289*F289</f>
        <v/>
      </c>
      <c r="H289" s="20">
        <f>E289*B289*(B289+1)/(1+$B$293)^(B289+2)</f>
        <v/>
      </c>
      <c r="I289" s="20">
        <f>B289*E289</f>
        <v/>
      </c>
    </row>
    <row r="290">
      <c r="A290" t="n">
        <v>3</v>
      </c>
      <c r="B290" s="20">
        <f>A290/1</f>
        <v/>
      </c>
      <c r="C290" s="20" t="n">
        <v>5</v>
      </c>
      <c r="D290" s="20" t="n">
        <v>0</v>
      </c>
      <c r="E290" s="20">
        <f>C290+D290</f>
        <v/>
      </c>
      <c r="F290" s="20">
        <f>E290/(1+$B$293)^B290</f>
        <v/>
      </c>
      <c r="G290" s="20">
        <f>B290*F290</f>
        <v/>
      </c>
      <c r="H290" s="20">
        <f>E290*B290*(B290+1)/(1+$B$293)^(B290+2)</f>
        <v/>
      </c>
      <c r="I290" s="20">
        <f>B290*E290</f>
        <v/>
      </c>
    </row>
    <row r="291">
      <c r="A291" t="n">
        <v>4</v>
      </c>
      <c r="B291" s="20">
        <f>A291/1</f>
        <v/>
      </c>
      <c r="C291" s="20" t="n">
        <v>5</v>
      </c>
      <c r="D291" s="20" t="n">
        <v>100</v>
      </c>
      <c r="E291" s="20">
        <f>C291+D291</f>
        <v/>
      </c>
      <c r="F291" s="20">
        <f>E291/(1+$B$293)^B291</f>
        <v/>
      </c>
      <c r="G291" s="20">
        <f>B291*F291</f>
        <v/>
      </c>
      <c r="H291" s="20">
        <f>E291*B291*(B291+1)/(1+$B$293)^(B291+2)</f>
        <v/>
      </c>
      <c r="I291" s="20">
        <f>B291*E291</f>
        <v/>
      </c>
    </row>
    <row r="293">
      <c r="A293" s="5" t="inlineStr">
        <is>
          <t>TIR efectiva anual</t>
        </is>
      </c>
      <c r="B293" s="21" t="n">
        <v>0.09</v>
      </c>
    </row>
    <row r="294">
      <c r="A294" t="inlineStr">
        <is>
          <t>Precio</t>
        </is>
      </c>
      <c r="B294" s="20">
        <f>SUM(F288:F291)</f>
        <v/>
      </c>
    </row>
    <row r="295">
      <c r="A295" t="inlineStr">
        <is>
          <t>Duration</t>
        </is>
      </c>
      <c r="B295" s="20">
        <f>SUM(G288:G291)/B294</f>
        <v/>
      </c>
    </row>
    <row r="296">
      <c r="A296" t="inlineStr">
        <is>
          <t>DM = D/(1+TIR)</t>
        </is>
      </c>
      <c r="B296" s="20">
        <f>B295/(1+$B$293)</f>
        <v/>
      </c>
    </row>
    <row r="297">
      <c r="A297" t="inlineStr">
        <is>
          <t>Convexidad</t>
        </is>
      </c>
      <c r="B297" s="20">
        <f>SUM(H288:H291)/B294</f>
        <v/>
      </c>
    </row>
    <row r="298">
      <c r="A298" t="inlineStr">
        <is>
          <t>PPV</t>
        </is>
      </c>
      <c r="B298" s="20">
        <f>SUM(I288:I291)/SUM(E288:E291)</f>
        <v/>
      </c>
    </row>
    <row r="301">
      <c r="A301" s="3" t="inlineStr">
        <is>
          <t>Ejercicio 79</t>
        </is>
      </c>
      <c r="B301" s="3" t="inlineStr">
        <is>
          <t>Completo · PPV de un amortizable</t>
        </is>
      </c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>
      <c r="A302" s="5" t="inlineStr">
        <is>
          <t>Respuesta</t>
        </is>
      </c>
      <c r="C302" s="22">
        <f>B320</f>
        <v/>
      </c>
      <c r="D302" s="2" t="inlineStr">
        <is>
          <t>4,554</t>
        </is>
      </c>
    </row>
    <row r="303">
      <c r="A303" t="inlineStr">
        <is>
          <t>En Excel</t>
        </is>
      </c>
      <c r="C303" t="inlineStr">
        <is>
          <t>VA de cada flujo = flujo/(1+TIR)^t; con eso, SUMAPRODUCTO para precio, duration o convexidad</t>
        </is>
      </c>
    </row>
    <row r="304" ht="30" customHeight="1">
      <c r="A304" t="inlineStr">
        <is>
          <t>Explicación</t>
        </is>
      </c>
      <c r="C304" s="8" t="inlineStr">
        <is>
          <t>TIR efectiva anual usada = 8,000 %. Precio = 92,048 · Duration = 4,4152 años · DM = 4,0882 · Convexidad = 22,119 · PPV = 4,5538.</t>
        </is>
      </c>
    </row>
    <row r="306">
      <c r="A306" s="19" t="inlineStr">
        <is>
          <t>Período</t>
        </is>
      </c>
      <c r="B306" s="19" t="inlineStr">
        <is>
          <t>t (años)</t>
        </is>
      </c>
      <c r="C306" s="19" t="inlineStr">
        <is>
          <t>Renta</t>
        </is>
      </c>
      <c r="D306" s="19" t="inlineStr">
        <is>
          <t>Amort.</t>
        </is>
      </c>
      <c r="E306" s="19" t="inlineStr">
        <is>
          <t>Flujo</t>
        </is>
      </c>
      <c r="F306" s="19" t="inlineStr">
        <is>
          <t>VA</t>
        </is>
      </c>
      <c r="G306" s="19" t="inlineStr">
        <is>
          <t>t · VA</t>
        </is>
      </c>
      <c r="H306" s="19" t="inlineStr">
        <is>
          <t>Convexidad</t>
        </is>
      </c>
      <c r="I306" s="19" t="inlineStr">
        <is>
          <t>t · Flujo</t>
        </is>
      </c>
    </row>
    <row r="307">
      <c r="A307" t="n">
        <v>0</v>
      </c>
      <c r="B307" t="n">
        <v>0</v>
      </c>
      <c r="E307" t="n">
        <v>0</v>
      </c>
    </row>
    <row r="308">
      <c r="A308" t="n">
        <v>1</v>
      </c>
      <c r="B308" s="20">
        <f>A308/1</f>
        <v/>
      </c>
      <c r="C308" s="20" t="n">
        <v>6</v>
      </c>
      <c r="D308" s="20" t="n">
        <v>0</v>
      </c>
      <c r="E308" s="20">
        <f>C308+D308</f>
        <v/>
      </c>
      <c r="F308" s="20">
        <f>E308/(1+$B$315)^B308</f>
        <v/>
      </c>
      <c r="G308" s="20">
        <f>B308*F308</f>
        <v/>
      </c>
      <c r="H308" s="20">
        <f>E308*B308*(B308+1)/(1+$B$315)^(B308+2)</f>
        <v/>
      </c>
      <c r="I308" s="20">
        <f>B308*E308</f>
        <v/>
      </c>
    </row>
    <row r="309">
      <c r="A309" t="n">
        <v>2</v>
      </c>
      <c r="B309" s="20">
        <f>A309/1</f>
        <v/>
      </c>
      <c r="C309" s="20" t="n">
        <v>6</v>
      </c>
      <c r="D309" s="20" t="n">
        <v>0</v>
      </c>
      <c r="E309" s="20">
        <f>C309+D309</f>
        <v/>
      </c>
      <c r="F309" s="20">
        <f>E309/(1+$B$315)^B309</f>
        <v/>
      </c>
      <c r="G309" s="20">
        <f>B309*F309</f>
        <v/>
      </c>
      <c r="H309" s="20">
        <f>E309*B309*(B309+1)/(1+$B$315)^(B309+2)</f>
        <v/>
      </c>
      <c r="I309" s="20">
        <f>B309*E309</f>
        <v/>
      </c>
    </row>
    <row r="310">
      <c r="A310" t="n">
        <v>3</v>
      </c>
      <c r="B310" s="20">
        <f>A310/1</f>
        <v/>
      </c>
      <c r="C310" s="20" t="n">
        <v>6</v>
      </c>
      <c r="D310" s="20" t="n">
        <v>0</v>
      </c>
      <c r="E310" s="20">
        <f>C310+D310</f>
        <v/>
      </c>
      <c r="F310" s="20">
        <f>E310/(1+$B$315)^B310</f>
        <v/>
      </c>
      <c r="G310" s="20">
        <f>B310*F310</f>
        <v/>
      </c>
      <c r="H310" s="20">
        <f>E310*B310*(B310+1)/(1+$B$315)^(B310+2)</f>
        <v/>
      </c>
      <c r="I310" s="20">
        <f>B310*E310</f>
        <v/>
      </c>
    </row>
    <row r="311">
      <c r="A311" t="n">
        <v>4</v>
      </c>
      <c r="B311" s="20">
        <f>A311/1</f>
        <v/>
      </c>
      <c r="C311" s="20" t="n">
        <v>6</v>
      </c>
      <c r="D311" s="20" t="n">
        <v>33.3333333333</v>
      </c>
      <c r="E311" s="20">
        <f>C311+D311</f>
        <v/>
      </c>
      <c r="F311" s="20">
        <f>E311/(1+$B$315)^B311</f>
        <v/>
      </c>
      <c r="G311" s="20">
        <f>B311*F311</f>
        <v/>
      </c>
      <c r="H311" s="20">
        <f>E311*B311*(B311+1)/(1+$B$315)^(B311+2)</f>
        <v/>
      </c>
      <c r="I311" s="20">
        <f>B311*E311</f>
        <v/>
      </c>
    </row>
    <row r="312">
      <c r="A312" t="n">
        <v>5</v>
      </c>
      <c r="B312" s="20">
        <f>A312/1</f>
        <v/>
      </c>
      <c r="C312" s="20" t="n">
        <v>4</v>
      </c>
      <c r="D312" s="20" t="n">
        <v>33.3333333333</v>
      </c>
      <c r="E312" s="20">
        <f>C312+D312</f>
        <v/>
      </c>
      <c r="F312" s="20">
        <f>E312/(1+$B$315)^B312</f>
        <v/>
      </c>
      <c r="G312" s="20">
        <f>B312*F312</f>
        <v/>
      </c>
      <c r="H312" s="20">
        <f>E312*B312*(B312+1)/(1+$B$315)^(B312+2)</f>
        <v/>
      </c>
      <c r="I312" s="20">
        <f>B312*E312</f>
        <v/>
      </c>
    </row>
    <row r="313">
      <c r="A313" t="n">
        <v>6</v>
      </c>
      <c r="B313" s="20">
        <f>A313/1</f>
        <v/>
      </c>
      <c r="C313" s="20" t="n">
        <v>2</v>
      </c>
      <c r="D313" s="20" t="n">
        <v>33.3333333333</v>
      </c>
      <c r="E313" s="20">
        <f>C313+D313</f>
        <v/>
      </c>
      <c r="F313" s="20">
        <f>E313/(1+$B$315)^B313</f>
        <v/>
      </c>
      <c r="G313" s="20">
        <f>B313*F313</f>
        <v/>
      </c>
      <c r="H313" s="20">
        <f>E313*B313*(B313+1)/(1+$B$315)^(B313+2)</f>
        <v/>
      </c>
      <c r="I313" s="20">
        <f>B313*E313</f>
        <v/>
      </c>
    </row>
    <row r="315">
      <c r="A315" s="5" t="inlineStr">
        <is>
          <t>TIR efectiva anual</t>
        </is>
      </c>
      <c r="B315" s="21" t="n">
        <v>0.08</v>
      </c>
    </row>
    <row r="316">
      <c r="A316" t="inlineStr">
        <is>
          <t>Precio</t>
        </is>
      </c>
      <c r="B316" s="20">
        <f>SUM(F308:F313)</f>
        <v/>
      </c>
    </row>
    <row r="317">
      <c r="A317" t="inlineStr">
        <is>
          <t>Duration</t>
        </is>
      </c>
      <c r="B317" s="20">
        <f>SUM(G308:G313)/B316</f>
        <v/>
      </c>
    </row>
    <row r="318">
      <c r="A318" t="inlineStr">
        <is>
          <t>DM = D/(1+TIR)</t>
        </is>
      </c>
      <c r="B318" s="20">
        <f>B317/(1+$B$315)</f>
        <v/>
      </c>
    </row>
    <row r="319">
      <c r="A319" t="inlineStr">
        <is>
          <t>Convexidad</t>
        </is>
      </c>
      <c r="B319" s="20">
        <f>SUM(H308:H313)/B316</f>
        <v/>
      </c>
    </row>
    <row r="320">
      <c r="A320" t="inlineStr">
        <is>
          <t>PPV</t>
        </is>
      </c>
      <c r="B320" s="20">
        <f>SUM(I308:I313)/SUM(E308:E313)</f>
        <v/>
      </c>
    </row>
    <row r="323">
      <c r="A323" s="3" t="inlineStr">
        <is>
          <t>Ejercicio 80</t>
        </is>
      </c>
      <c r="B323" s="3" t="inlineStr">
        <is>
          <t>Completo · Sensibilidad por duration</t>
        </is>
      </c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>
      <c r="A324" s="5" t="inlineStr">
        <is>
          <t>Respuesta</t>
        </is>
      </c>
      <c r="C324" s="18">
        <f>-B340*0.015</f>
        <v/>
      </c>
      <c r="D324" s="2" t="inlineStr">
        <is>
          <t>-6,95 %</t>
        </is>
      </c>
    </row>
    <row r="325">
      <c r="A325" t="inlineStr">
        <is>
          <t>En Excel</t>
        </is>
      </c>
      <c r="C325" t="inlineStr">
        <is>
          <t>VA de cada flujo = flujo/(1+TIR)^t; con eso, SUMAPRODUCTO para precio, duration o convexidad</t>
        </is>
      </c>
    </row>
    <row r="326" ht="45" customHeight="1">
      <c r="A326" t="inlineStr">
        <is>
          <t>Explicación</t>
        </is>
      </c>
      <c r="C326" s="8" t="inlineStr">
        <is>
          <t>TIR efectiva anual usada = 9,000 %. Precio = 91,028 · Duration = 5,0513 años · DM = 4,6342 · Convexidad = 28,001 · PPV = 5,2606. ΔTIR = 0,015. Por DM: −DM × ΔTIR = -6,951 %. Con convexidad: + ½ × C × ΔTIR² = 0,315 %. Variación real: -6,647 %.</t>
        </is>
      </c>
    </row>
    <row r="328">
      <c r="A328" s="19" t="inlineStr">
        <is>
          <t>Período</t>
        </is>
      </c>
      <c r="B328" s="19" t="inlineStr">
        <is>
          <t>t (años)</t>
        </is>
      </c>
      <c r="C328" s="19" t="inlineStr">
        <is>
          <t>Renta</t>
        </is>
      </c>
      <c r="D328" s="19" t="inlineStr">
        <is>
          <t>Amort.</t>
        </is>
      </c>
      <c r="E328" s="19" t="inlineStr">
        <is>
          <t>Flujo</t>
        </is>
      </c>
      <c r="F328" s="19" t="inlineStr">
        <is>
          <t>VA</t>
        </is>
      </c>
      <c r="G328" s="19" t="inlineStr">
        <is>
          <t>t · VA</t>
        </is>
      </c>
      <c r="H328" s="19" t="inlineStr">
        <is>
          <t>Convexidad</t>
        </is>
      </c>
      <c r="I328" s="19" t="inlineStr">
        <is>
          <t>t · Flujo</t>
        </is>
      </c>
    </row>
    <row r="329">
      <c r="A329" t="n">
        <v>0</v>
      </c>
      <c r="B329" t="n">
        <v>0</v>
      </c>
      <c r="E329" t="n">
        <v>0</v>
      </c>
    </row>
    <row r="330">
      <c r="A330" t="n">
        <v>1</v>
      </c>
      <c r="B330" s="20">
        <f>A330/1</f>
        <v/>
      </c>
      <c r="C330" s="20" t="n">
        <v>7</v>
      </c>
      <c r="D330" s="20" t="n">
        <v>0</v>
      </c>
      <c r="E330" s="20">
        <f>C330+D330</f>
        <v/>
      </c>
      <c r="F330" s="20">
        <f>E330/(1+$B$337)^B330</f>
        <v/>
      </c>
      <c r="G330" s="20">
        <f>B330*F330</f>
        <v/>
      </c>
      <c r="H330" s="20">
        <f>E330*B330*(B330+1)/(1+$B$337)^(B330+2)</f>
        <v/>
      </c>
      <c r="I330" s="20">
        <f>B330*E330</f>
        <v/>
      </c>
    </row>
    <row r="331">
      <c r="A331" t="n">
        <v>2</v>
      </c>
      <c r="B331" s="20">
        <f>A331/1</f>
        <v/>
      </c>
      <c r="C331" s="20" t="n">
        <v>7</v>
      </c>
      <c r="D331" s="20" t="n">
        <v>0</v>
      </c>
      <c r="E331" s="20">
        <f>C331+D331</f>
        <v/>
      </c>
      <c r="F331" s="20">
        <f>E331/(1+$B$337)^B331</f>
        <v/>
      </c>
      <c r="G331" s="20">
        <f>B331*F331</f>
        <v/>
      </c>
      <c r="H331" s="20">
        <f>E331*B331*(B331+1)/(1+$B$337)^(B331+2)</f>
        <v/>
      </c>
      <c r="I331" s="20">
        <f>B331*E331</f>
        <v/>
      </c>
    </row>
    <row r="332">
      <c r="A332" t="n">
        <v>3</v>
      </c>
      <c r="B332" s="20">
        <f>A332/1</f>
        <v/>
      </c>
      <c r="C332" s="20" t="n">
        <v>7</v>
      </c>
      <c r="D332" s="20" t="n">
        <v>0</v>
      </c>
      <c r="E332" s="20">
        <f>C332+D332</f>
        <v/>
      </c>
      <c r="F332" s="20">
        <f>E332/(1+$B$337)^B332</f>
        <v/>
      </c>
      <c r="G332" s="20">
        <f>B332*F332</f>
        <v/>
      </c>
      <c r="H332" s="20">
        <f>E332*B332*(B332+1)/(1+$B$337)^(B332+2)</f>
        <v/>
      </c>
      <c r="I332" s="20">
        <f>B332*E332</f>
        <v/>
      </c>
    </row>
    <row r="333">
      <c r="A333" t="n">
        <v>4</v>
      </c>
      <c r="B333" s="20">
        <f>A333/1</f>
        <v/>
      </c>
      <c r="C333" s="20" t="n">
        <v>7</v>
      </c>
      <c r="D333" s="20" t="n">
        <v>0</v>
      </c>
      <c r="E333" s="20">
        <f>C333+D333</f>
        <v/>
      </c>
      <c r="F333" s="20">
        <f>E333/(1+$B$337)^B333</f>
        <v/>
      </c>
      <c r="G333" s="20">
        <f>B333*F333</f>
        <v/>
      </c>
      <c r="H333" s="20">
        <f>E333*B333*(B333+1)/(1+$B$337)^(B333+2)</f>
        <v/>
      </c>
      <c r="I333" s="20">
        <f>B333*E333</f>
        <v/>
      </c>
    </row>
    <row r="334">
      <c r="A334" t="n">
        <v>5</v>
      </c>
      <c r="B334" s="20">
        <f>A334/1</f>
        <v/>
      </c>
      <c r="C334" s="20" t="n">
        <v>7</v>
      </c>
      <c r="D334" s="20" t="n">
        <v>0</v>
      </c>
      <c r="E334" s="20">
        <f>C334+D334</f>
        <v/>
      </c>
      <c r="F334" s="20">
        <f>E334/(1+$B$337)^B334</f>
        <v/>
      </c>
      <c r="G334" s="20">
        <f>B334*F334</f>
        <v/>
      </c>
      <c r="H334" s="20">
        <f>E334*B334*(B334+1)/(1+$B$337)^(B334+2)</f>
        <v/>
      </c>
      <c r="I334" s="20">
        <f>B334*E334</f>
        <v/>
      </c>
    </row>
    <row r="335">
      <c r="A335" t="n">
        <v>6</v>
      </c>
      <c r="B335" s="20">
        <f>A335/1</f>
        <v/>
      </c>
      <c r="C335" s="20" t="n">
        <v>7</v>
      </c>
      <c r="D335" s="20" t="n">
        <v>100</v>
      </c>
      <c r="E335" s="20">
        <f>C335+D335</f>
        <v/>
      </c>
      <c r="F335" s="20">
        <f>E335/(1+$B$337)^B335</f>
        <v/>
      </c>
      <c r="G335" s="20">
        <f>B335*F335</f>
        <v/>
      </c>
      <c r="H335" s="20">
        <f>E335*B335*(B335+1)/(1+$B$337)^(B335+2)</f>
        <v/>
      </c>
      <c r="I335" s="20">
        <f>B335*E335</f>
        <v/>
      </c>
    </row>
    <row r="337">
      <c r="A337" s="5" t="inlineStr">
        <is>
          <t>TIR efectiva anual</t>
        </is>
      </c>
      <c r="B337" s="21" t="n">
        <v>0.09</v>
      </c>
    </row>
    <row r="338">
      <c r="A338" t="inlineStr">
        <is>
          <t>Precio</t>
        </is>
      </c>
      <c r="B338" s="20">
        <f>SUM(F330:F335)</f>
        <v/>
      </c>
    </row>
    <row r="339">
      <c r="A339" t="inlineStr">
        <is>
          <t>Duration</t>
        </is>
      </c>
      <c r="B339" s="20">
        <f>SUM(G330:G335)/B338</f>
        <v/>
      </c>
    </row>
    <row r="340">
      <c r="A340" t="inlineStr">
        <is>
          <t>DM = D/(1+TIR)</t>
        </is>
      </c>
      <c r="B340" s="20">
        <f>B339/(1+$B$337)</f>
        <v/>
      </c>
    </row>
    <row r="341">
      <c r="A341" t="inlineStr">
        <is>
          <t>Convexidad</t>
        </is>
      </c>
      <c r="B341" s="20">
        <f>SUM(H330:H335)/B338</f>
        <v/>
      </c>
    </row>
    <row r="342">
      <c r="A342" t="inlineStr">
        <is>
          <t>PPV</t>
        </is>
      </c>
      <c r="B342" s="20">
        <f>SUM(I330:I335)/SUM(E330:E335)</f>
        <v/>
      </c>
    </row>
    <row r="345">
      <c r="A345" s="3" t="inlineStr">
        <is>
          <t>Ejercicio 81</t>
        </is>
      </c>
      <c r="B345" s="3" t="inlineStr">
        <is>
          <t>Completo · Sensibilidad con convexidad</t>
        </is>
      </c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>
      <c r="A346" s="5" t="inlineStr">
        <is>
          <t>Respuesta</t>
        </is>
      </c>
      <c r="C346" s="18">
        <f>-B364*-0.02+0.5*B365*-0.02^2</f>
        <v/>
      </c>
      <c r="D346" s="2" t="inlineStr">
        <is>
          <t>13,88 %</t>
        </is>
      </c>
    </row>
    <row r="347">
      <c r="A347" t="inlineStr">
        <is>
          <t>En Excel</t>
        </is>
      </c>
      <c r="C347" t="inlineStr">
        <is>
          <t>VA de cada flujo = flujo/(1+TIR)^t; con eso, SUMAPRODUCTO para precio, duration o convexidad</t>
        </is>
      </c>
    </row>
    <row r="348" ht="45" customHeight="1">
      <c r="A348" t="inlineStr">
        <is>
          <t>Explicación</t>
        </is>
      </c>
      <c r="C348" s="8" t="inlineStr">
        <is>
          <t>TIR efectiva anual usada = 7,000 %. Precio = 82,086 · Duration = 6,8787 años · DM = 6,4287 · Convexidad = 51,327 · PPV = 7,1515. ΔTIR = -0,020. Por DM: −DM × ΔTIR = 12,857 %. Con convexidad: + ½ × C × ΔTIR² = 1,027 %. Variación real: 13,950 %.</t>
        </is>
      </c>
    </row>
    <row r="350">
      <c r="A350" s="19" t="inlineStr">
        <is>
          <t>Período</t>
        </is>
      </c>
      <c r="B350" s="19" t="inlineStr">
        <is>
          <t>t (años)</t>
        </is>
      </c>
      <c r="C350" s="19" t="inlineStr">
        <is>
          <t>Renta</t>
        </is>
      </c>
      <c r="D350" s="19" t="inlineStr">
        <is>
          <t>Amort.</t>
        </is>
      </c>
      <c r="E350" s="19" t="inlineStr">
        <is>
          <t>Flujo</t>
        </is>
      </c>
      <c r="F350" s="19" t="inlineStr">
        <is>
          <t>VA</t>
        </is>
      </c>
      <c r="G350" s="19" t="inlineStr">
        <is>
          <t>t · VA</t>
        </is>
      </c>
      <c r="H350" s="19" t="inlineStr">
        <is>
          <t>Convexidad</t>
        </is>
      </c>
      <c r="I350" s="19" t="inlineStr">
        <is>
          <t>t · Flujo</t>
        </is>
      </c>
    </row>
    <row r="351">
      <c r="A351" t="n">
        <v>0</v>
      </c>
      <c r="B351" t="n">
        <v>0</v>
      </c>
      <c r="E351" t="n">
        <v>0</v>
      </c>
    </row>
    <row r="352">
      <c r="A352" t="n">
        <v>1</v>
      </c>
      <c r="B352" s="20">
        <f>A352/1</f>
        <v/>
      </c>
      <c r="C352" s="20" t="n">
        <v>4</v>
      </c>
      <c r="D352" s="20" t="n">
        <v>0</v>
      </c>
      <c r="E352" s="20">
        <f>C352+D352</f>
        <v/>
      </c>
      <c r="F352" s="20">
        <f>E352/(1+$B$361)^B352</f>
        <v/>
      </c>
      <c r="G352" s="20">
        <f>B352*F352</f>
        <v/>
      </c>
      <c r="H352" s="20">
        <f>E352*B352*(B352+1)/(1+$B$361)^(B352+2)</f>
        <v/>
      </c>
      <c r="I352" s="20">
        <f>B352*E352</f>
        <v/>
      </c>
    </row>
    <row r="353">
      <c r="A353" t="n">
        <v>2</v>
      </c>
      <c r="B353" s="20">
        <f>A353/1</f>
        <v/>
      </c>
      <c r="C353" s="20" t="n">
        <v>4</v>
      </c>
      <c r="D353" s="20" t="n">
        <v>0</v>
      </c>
      <c r="E353" s="20">
        <f>C353+D353</f>
        <v/>
      </c>
      <c r="F353" s="20">
        <f>E353/(1+$B$361)^B353</f>
        <v/>
      </c>
      <c r="G353" s="20">
        <f>B353*F353</f>
        <v/>
      </c>
      <c r="H353" s="20">
        <f>E353*B353*(B353+1)/(1+$B$361)^(B353+2)</f>
        <v/>
      </c>
      <c r="I353" s="20">
        <f>B353*E353</f>
        <v/>
      </c>
    </row>
    <row r="354">
      <c r="A354" t="n">
        <v>3</v>
      </c>
      <c r="B354" s="20">
        <f>A354/1</f>
        <v/>
      </c>
      <c r="C354" s="20" t="n">
        <v>4</v>
      </c>
      <c r="D354" s="20" t="n">
        <v>0</v>
      </c>
      <c r="E354" s="20">
        <f>C354+D354</f>
        <v/>
      </c>
      <c r="F354" s="20">
        <f>E354/(1+$B$361)^B354</f>
        <v/>
      </c>
      <c r="G354" s="20">
        <f>B354*F354</f>
        <v/>
      </c>
      <c r="H354" s="20">
        <f>E354*B354*(B354+1)/(1+$B$361)^(B354+2)</f>
        <v/>
      </c>
      <c r="I354" s="20">
        <f>B354*E354</f>
        <v/>
      </c>
    </row>
    <row r="355">
      <c r="A355" t="n">
        <v>4</v>
      </c>
      <c r="B355" s="20">
        <f>A355/1</f>
        <v/>
      </c>
      <c r="C355" s="20" t="n">
        <v>4</v>
      </c>
      <c r="D355" s="20" t="n">
        <v>0</v>
      </c>
      <c r="E355" s="20">
        <f>C355+D355</f>
        <v/>
      </c>
      <c r="F355" s="20">
        <f>E355/(1+$B$361)^B355</f>
        <v/>
      </c>
      <c r="G355" s="20">
        <f>B355*F355</f>
        <v/>
      </c>
      <c r="H355" s="20">
        <f>E355*B355*(B355+1)/(1+$B$361)^(B355+2)</f>
        <v/>
      </c>
      <c r="I355" s="20">
        <f>B355*E355</f>
        <v/>
      </c>
    </row>
    <row r="356">
      <c r="A356" t="n">
        <v>5</v>
      </c>
      <c r="B356" s="20">
        <f>A356/1</f>
        <v/>
      </c>
      <c r="C356" s="20" t="n">
        <v>4</v>
      </c>
      <c r="D356" s="20" t="n">
        <v>0</v>
      </c>
      <c r="E356" s="20">
        <f>C356+D356</f>
        <v/>
      </c>
      <c r="F356" s="20">
        <f>E356/(1+$B$361)^B356</f>
        <v/>
      </c>
      <c r="G356" s="20">
        <f>B356*F356</f>
        <v/>
      </c>
      <c r="H356" s="20">
        <f>E356*B356*(B356+1)/(1+$B$361)^(B356+2)</f>
        <v/>
      </c>
      <c r="I356" s="20">
        <f>B356*E356</f>
        <v/>
      </c>
    </row>
    <row r="357">
      <c r="A357" t="n">
        <v>6</v>
      </c>
      <c r="B357" s="20">
        <f>A357/1</f>
        <v/>
      </c>
      <c r="C357" s="20" t="n">
        <v>4</v>
      </c>
      <c r="D357" s="20" t="n">
        <v>0</v>
      </c>
      <c r="E357" s="20">
        <f>C357+D357</f>
        <v/>
      </c>
      <c r="F357" s="20">
        <f>E357/(1+$B$361)^B357</f>
        <v/>
      </c>
      <c r="G357" s="20">
        <f>B357*F357</f>
        <v/>
      </c>
      <c r="H357" s="20">
        <f>E357*B357*(B357+1)/(1+$B$361)^(B357+2)</f>
        <v/>
      </c>
      <c r="I357" s="20">
        <f>B357*E357</f>
        <v/>
      </c>
    </row>
    <row r="358">
      <c r="A358" t="n">
        <v>7</v>
      </c>
      <c r="B358" s="20">
        <f>A358/1</f>
        <v/>
      </c>
      <c r="C358" s="20" t="n">
        <v>4</v>
      </c>
      <c r="D358" s="20" t="n">
        <v>0</v>
      </c>
      <c r="E358" s="20">
        <f>C358+D358</f>
        <v/>
      </c>
      <c r="F358" s="20">
        <f>E358/(1+$B$361)^B358</f>
        <v/>
      </c>
      <c r="G358" s="20">
        <f>B358*F358</f>
        <v/>
      </c>
      <c r="H358" s="20">
        <f>E358*B358*(B358+1)/(1+$B$361)^(B358+2)</f>
        <v/>
      </c>
      <c r="I358" s="20">
        <f>B358*E358</f>
        <v/>
      </c>
    </row>
    <row r="359">
      <c r="A359" t="n">
        <v>8</v>
      </c>
      <c r="B359" s="20">
        <f>A359/1</f>
        <v/>
      </c>
      <c r="C359" s="20" t="n">
        <v>4</v>
      </c>
      <c r="D359" s="20" t="n">
        <v>100</v>
      </c>
      <c r="E359" s="20">
        <f>C359+D359</f>
        <v/>
      </c>
      <c r="F359" s="20">
        <f>E359/(1+$B$361)^B359</f>
        <v/>
      </c>
      <c r="G359" s="20">
        <f>B359*F359</f>
        <v/>
      </c>
      <c r="H359" s="20">
        <f>E359*B359*(B359+1)/(1+$B$361)^(B359+2)</f>
        <v/>
      </c>
      <c r="I359" s="20">
        <f>B359*E359</f>
        <v/>
      </c>
    </row>
    <row r="361">
      <c r="A361" s="5" t="inlineStr">
        <is>
          <t>TIR efectiva anual</t>
        </is>
      </c>
      <c r="B361" s="21" t="n">
        <v>0.07000000000000001</v>
      </c>
    </row>
    <row r="362">
      <c r="A362" t="inlineStr">
        <is>
          <t>Precio</t>
        </is>
      </c>
      <c r="B362" s="20">
        <f>SUM(F352:F359)</f>
        <v/>
      </c>
    </row>
    <row r="363">
      <c r="A363" t="inlineStr">
        <is>
          <t>Duration</t>
        </is>
      </c>
      <c r="B363" s="20">
        <f>SUM(G352:G359)/B362</f>
        <v/>
      </c>
    </row>
    <row r="364">
      <c r="A364" t="inlineStr">
        <is>
          <t>DM = D/(1+TIR)</t>
        </is>
      </c>
      <c r="B364" s="20">
        <f>B363/(1+$B$361)</f>
        <v/>
      </c>
    </row>
    <row r="365">
      <c r="A365" t="inlineStr">
        <is>
          <t>Convexidad</t>
        </is>
      </c>
      <c r="B365" s="20">
        <f>SUM(H352:H359)/B362</f>
        <v/>
      </c>
    </row>
    <row r="366">
      <c r="A366" t="inlineStr">
        <is>
          <t>PPV</t>
        </is>
      </c>
      <c r="B366" s="20">
        <f>SUM(I352:I359)/SUM(E352:E359)</f>
        <v/>
      </c>
    </row>
    <row r="369">
      <c r="A369" s="3" t="inlineStr">
        <is>
          <t>Ejercicio 82</t>
        </is>
      </c>
      <c r="B369" s="3" t="inlineStr">
        <is>
          <t>Completo · Variación real de precio</t>
        </is>
      </c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>
      <c r="A370" s="5" t="inlineStr">
        <is>
          <t>Respuesta</t>
        </is>
      </c>
      <c r="C370" s="18">
        <f>SUMPRODUCT(E376:E382/(1+$B$384+0.02)^B376:B382)/B385-1</f>
        <v/>
      </c>
      <c r="D370" s="2" t="inlineStr">
        <is>
          <t>-11,95 %</t>
        </is>
      </c>
    </row>
    <row r="371">
      <c r="A371" t="inlineStr">
        <is>
          <t>En Excel</t>
        </is>
      </c>
      <c r="C371" t="inlineStr">
        <is>
          <t>VA de cada flujo = flujo/(1+TIR)^t; con eso, SUMAPRODUCTO para precio, duration o convexidad</t>
        </is>
      </c>
    </row>
    <row r="372" ht="45" customHeight="1">
      <c r="A372" t="inlineStr">
        <is>
          <t>Explicación</t>
        </is>
      </c>
      <c r="C372" s="8" t="inlineStr">
        <is>
          <t>TIR efectiva anual usada = 9,000 %. Precio = 54,703 · Duration = 7,0000 años · DM = 6,4220 · Convexidad = 47,134 · PPV = 7,0000. ΔTIR = 0,020. Por DM: −DM × ΔTIR = -12,844 %. Con convexidad: + ½ × C × ΔTIR² = 0,943 %. Variación real: -11,951 %.</t>
        </is>
      </c>
    </row>
    <row r="374">
      <c r="A374" s="19" t="inlineStr">
        <is>
          <t>Período</t>
        </is>
      </c>
      <c r="B374" s="19" t="inlineStr">
        <is>
          <t>t (años)</t>
        </is>
      </c>
      <c r="C374" s="19" t="inlineStr">
        <is>
          <t>Renta</t>
        </is>
      </c>
      <c r="D374" s="19" t="inlineStr">
        <is>
          <t>Amort.</t>
        </is>
      </c>
      <c r="E374" s="19" t="inlineStr">
        <is>
          <t>Flujo</t>
        </is>
      </c>
      <c r="F374" s="19" t="inlineStr">
        <is>
          <t>VA</t>
        </is>
      </c>
      <c r="G374" s="19" t="inlineStr">
        <is>
          <t>t · VA</t>
        </is>
      </c>
      <c r="H374" s="19" t="inlineStr">
        <is>
          <t>Convexidad</t>
        </is>
      </c>
      <c r="I374" s="19" t="inlineStr">
        <is>
          <t>t · Flujo</t>
        </is>
      </c>
    </row>
    <row r="375">
      <c r="A375" t="n">
        <v>0</v>
      </c>
      <c r="B375" t="n">
        <v>0</v>
      </c>
      <c r="E375" t="n">
        <v>0</v>
      </c>
    </row>
    <row r="376">
      <c r="A376" t="n">
        <v>1</v>
      </c>
      <c r="B376" s="20">
        <f>A376/1</f>
        <v/>
      </c>
      <c r="C376" s="20" t="n">
        <v>0</v>
      </c>
      <c r="D376" s="20" t="n">
        <v>0</v>
      </c>
      <c r="E376" s="20">
        <f>C376+D376</f>
        <v/>
      </c>
      <c r="F376" s="20">
        <f>E376/(1+$B$384)^B376</f>
        <v/>
      </c>
      <c r="G376" s="20">
        <f>B376*F376</f>
        <v/>
      </c>
      <c r="H376" s="20">
        <f>E376*B376*(B376+1)/(1+$B$384)^(B376+2)</f>
        <v/>
      </c>
      <c r="I376" s="20">
        <f>B376*E376</f>
        <v/>
      </c>
    </row>
    <row r="377">
      <c r="A377" t="n">
        <v>2</v>
      </c>
      <c r="B377" s="20">
        <f>A377/1</f>
        <v/>
      </c>
      <c r="C377" s="20" t="n">
        <v>0</v>
      </c>
      <c r="D377" s="20" t="n">
        <v>0</v>
      </c>
      <c r="E377" s="20">
        <f>C377+D377</f>
        <v/>
      </c>
      <c r="F377" s="20">
        <f>E377/(1+$B$384)^B377</f>
        <v/>
      </c>
      <c r="G377" s="20">
        <f>B377*F377</f>
        <v/>
      </c>
      <c r="H377" s="20">
        <f>E377*B377*(B377+1)/(1+$B$384)^(B377+2)</f>
        <v/>
      </c>
      <c r="I377" s="20">
        <f>B377*E377</f>
        <v/>
      </c>
    </row>
    <row r="378">
      <c r="A378" t="n">
        <v>3</v>
      </c>
      <c r="B378" s="20">
        <f>A378/1</f>
        <v/>
      </c>
      <c r="C378" s="20" t="n">
        <v>0</v>
      </c>
      <c r="D378" s="20" t="n">
        <v>0</v>
      </c>
      <c r="E378" s="20">
        <f>C378+D378</f>
        <v/>
      </c>
      <c r="F378" s="20">
        <f>E378/(1+$B$384)^B378</f>
        <v/>
      </c>
      <c r="G378" s="20">
        <f>B378*F378</f>
        <v/>
      </c>
      <c r="H378" s="20">
        <f>E378*B378*(B378+1)/(1+$B$384)^(B378+2)</f>
        <v/>
      </c>
      <c r="I378" s="20">
        <f>B378*E378</f>
        <v/>
      </c>
    </row>
    <row r="379">
      <c r="A379" t="n">
        <v>4</v>
      </c>
      <c r="B379" s="20">
        <f>A379/1</f>
        <v/>
      </c>
      <c r="C379" s="20" t="n">
        <v>0</v>
      </c>
      <c r="D379" s="20" t="n">
        <v>0</v>
      </c>
      <c r="E379" s="20">
        <f>C379+D379</f>
        <v/>
      </c>
      <c r="F379" s="20">
        <f>E379/(1+$B$384)^B379</f>
        <v/>
      </c>
      <c r="G379" s="20">
        <f>B379*F379</f>
        <v/>
      </c>
      <c r="H379" s="20">
        <f>E379*B379*(B379+1)/(1+$B$384)^(B379+2)</f>
        <v/>
      </c>
      <c r="I379" s="20">
        <f>B379*E379</f>
        <v/>
      </c>
    </row>
    <row r="380">
      <c r="A380" t="n">
        <v>5</v>
      </c>
      <c r="B380" s="20">
        <f>A380/1</f>
        <v/>
      </c>
      <c r="C380" s="20" t="n">
        <v>0</v>
      </c>
      <c r="D380" s="20" t="n">
        <v>0</v>
      </c>
      <c r="E380" s="20">
        <f>C380+D380</f>
        <v/>
      </c>
      <c r="F380" s="20">
        <f>E380/(1+$B$384)^B380</f>
        <v/>
      </c>
      <c r="G380" s="20">
        <f>B380*F380</f>
        <v/>
      </c>
      <c r="H380" s="20">
        <f>E380*B380*(B380+1)/(1+$B$384)^(B380+2)</f>
        <v/>
      </c>
      <c r="I380" s="20">
        <f>B380*E380</f>
        <v/>
      </c>
    </row>
    <row r="381">
      <c r="A381" t="n">
        <v>6</v>
      </c>
      <c r="B381" s="20">
        <f>A381/1</f>
        <v/>
      </c>
      <c r="C381" s="20" t="n">
        <v>0</v>
      </c>
      <c r="D381" s="20" t="n">
        <v>0</v>
      </c>
      <c r="E381" s="20">
        <f>C381+D381</f>
        <v/>
      </c>
      <c r="F381" s="20">
        <f>E381/(1+$B$384)^B381</f>
        <v/>
      </c>
      <c r="G381" s="20">
        <f>B381*F381</f>
        <v/>
      </c>
      <c r="H381" s="20">
        <f>E381*B381*(B381+1)/(1+$B$384)^(B381+2)</f>
        <v/>
      </c>
      <c r="I381" s="20">
        <f>B381*E381</f>
        <v/>
      </c>
    </row>
    <row r="382">
      <c r="A382" t="n">
        <v>7</v>
      </c>
      <c r="B382" s="20">
        <f>A382/1</f>
        <v/>
      </c>
      <c r="C382" s="20" t="n">
        <v>0</v>
      </c>
      <c r="D382" s="20" t="n">
        <v>100</v>
      </c>
      <c r="E382" s="20">
        <f>C382+D382</f>
        <v/>
      </c>
      <c r="F382" s="20">
        <f>E382/(1+$B$384)^B382</f>
        <v/>
      </c>
      <c r="G382" s="20">
        <f>B382*F382</f>
        <v/>
      </c>
      <c r="H382" s="20">
        <f>E382*B382*(B382+1)/(1+$B$384)^(B382+2)</f>
        <v/>
      </c>
      <c r="I382" s="20">
        <f>B382*E382</f>
        <v/>
      </c>
    </row>
    <row r="384">
      <c r="A384" s="5" t="inlineStr">
        <is>
          <t>TIR efectiva anual</t>
        </is>
      </c>
      <c r="B384" s="21" t="n">
        <v>0.09</v>
      </c>
    </row>
    <row r="385">
      <c r="A385" t="inlineStr">
        <is>
          <t>Precio</t>
        </is>
      </c>
      <c r="B385" s="20">
        <f>SUM(F376:F382)</f>
        <v/>
      </c>
    </row>
    <row r="386">
      <c r="A386" t="inlineStr">
        <is>
          <t>Duration</t>
        </is>
      </c>
      <c r="B386" s="20">
        <f>SUM(G376:G382)/B385</f>
        <v/>
      </c>
    </row>
    <row r="387">
      <c r="A387" t="inlineStr">
        <is>
          <t>DM = D/(1+TIR)</t>
        </is>
      </c>
      <c r="B387" s="20">
        <f>B386/(1+$B$384)</f>
        <v/>
      </c>
    </row>
    <row r="388">
      <c r="A388" t="inlineStr">
        <is>
          <t>Convexidad</t>
        </is>
      </c>
      <c r="B388" s="20">
        <f>SUM(H376:H382)/B385</f>
        <v/>
      </c>
    </row>
    <row r="389">
      <c r="A389" t="inlineStr">
        <is>
          <t>PPV</t>
        </is>
      </c>
      <c r="B389" s="20">
        <f>SUM(I376:I382)/SUM(E376:E382)</f>
        <v/>
      </c>
    </row>
    <row r="392">
      <c r="A392" s="3" t="inlineStr">
        <is>
          <t>Ejercicio 83</t>
        </is>
      </c>
      <c r="B392" s="3" t="inlineStr">
        <is>
          <t>Completo · AL30 · TIR</t>
        </is>
      </c>
      <c r="C392" s="7" t="n"/>
      <c r="D392" s="7" t="n"/>
      <c r="E392" s="7" t="n"/>
      <c r="F392" s="7" t="n"/>
      <c r="G392" s="7" t="n"/>
      <c r="H392" s="7" t="n"/>
      <c r="I392" s="7" t="n"/>
      <c r="J392" s="7" t="n"/>
    </row>
    <row r="393">
      <c r="A393" s="5" t="inlineStr">
        <is>
          <t>Respuesta</t>
        </is>
      </c>
      <c r="C393" s="18">
        <f>$B$407</f>
        <v/>
      </c>
      <c r="D393" s="2" t="inlineStr">
        <is>
          <t>8,69 %</t>
        </is>
      </c>
    </row>
    <row r="394">
      <c r="A394" t="inlineStr">
        <is>
          <t>En Excel</t>
        </is>
      </c>
      <c r="C394" t="inlineStr">
        <is>
          <t>Flujo con fechas: −precio el día de compra y cada pago en su fecha → =TIR.NO.PER(flujos;fechas)</t>
        </is>
      </c>
    </row>
    <row r="395" ht="45" customHeight="1">
      <c r="A395" t="inlineStr">
        <is>
          <t>Explicación</t>
        </is>
      </c>
      <c r="C395" s="8" t="inlineStr">
        <is>
          <t>TIR efectiva anual = 8,689 %. Precio = 49,500 · Duration = 1,9012 años · DM = 1,7492 · Convexidad = 5,511 · PPV = 1,9843. Al 09/01/2027 ya se pagaron 4 + 8 × 5 = 44 de capital: el saldo es 56 y quedan 7 cuotas de 8.</t>
        </is>
      </c>
    </row>
    <row r="397">
      <c r="A397" s="19" t="inlineStr">
        <is>
          <t>Fecha</t>
        </is>
      </c>
      <c r="B397" s="19" t="inlineStr">
        <is>
          <t>t (años)</t>
        </is>
      </c>
      <c r="C397" s="19" t="inlineStr">
        <is>
          <t>Renta</t>
        </is>
      </c>
      <c r="D397" s="19" t="inlineStr">
        <is>
          <t>Amort.</t>
        </is>
      </c>
      <c r="E397" s="19" t="inlineStr">
        <is>
          <t>Flujo</t>
        </is>
      </c>
      <c r="F397" s="19" t="inlineStr">
        <is>
          <t>VA</t>
        </is>
      </c>
      <c r="G397" s="19" t="inlineStr">
        <is>
          <t>t · VA</t>
        </is>
      </c>
      <c r="H397" s="19" t="inlineStr">
        <is>
          <t>Convexidad</t>
        </is>
      </c>
      <c r="I397" s="19" t="inlineStr">
        <is>
          <t>t · Flujo</t>
        </is>
      </c>
    </row>
    <row r="398">
      <c r="A398" s="23" t="n">
        <v>46396</v>
      </c>
      <c r="B398" t="n">
        <v>0</v>
      </c>
      <c r="E398" t="n">
        <v>-49.5</v>
      </c>
    </row>
    <row r="399">
      <c r="A399" s="23" t="n">
        <v>46577</v>
      </c>
      <c r="B399" s="20">
        <f>(A399-$A$398)/365</f>
        <v/>
      </c>
      <c r="C399" s="20" t="n">
        <v>0.4793055556</v>
      </c>
      <c r="D399" s="20" t="n">
        <v>8</v>
      </c>
      <c r="E399" s="20">
        <f>C399+D399</f>
        <v/>
      </c>
      <c r="F399" s="20">
        <f>E399/(1+$B$407)^B399</f>
        <v/>
      </c>
      <c r="G399" s="20">
        <f>B399*F399</f>
        <v/>
      </c>
      <c r="H399" s="20">
        <f>E399*B399*(B399+1)/(1+$B$407)^(B399+2)</f>
        <v/>
      </c>
      <c r="I399" s="20">
        <f>B399*E399</f>
        <v/>
      </c>
    </row>
    <row r="400">
      <c r="A400" s="23" t="n">
        <v>46761</v>
      </c>
      <c r="B400" s="20">
        <f>(A400-$A$398)/365</f>
        <v/>
      </c>
      <c r="C400" s="20" t="n">
        <v>0.4408333333</v>
      </c>
      <c r="D400" s="20" t="n">
        <v>8</v>
      </c>
      <c r="E400" s="20">
        <f>C400+D400</f>
        <v/>
      </c>
      <c r="F400" s="20">
        <f>E400/(1+$B$407)^B400</f>
        <v/>
      </c>
      <c r="G400" s="20">
        <f>B400*F400</f>
        <v/>
      </c>
      <c r="H400" s="20">
        <f>E400*B400*(B400+1)/(1+$B$407)^(B400+2)</f>
        <v/>
      </c>
      <c r="I400" s="20">
        <f>B400*E400</f>
        <v/>
      </c>
    </row>
    <row r="401">
      <c r="A401" s="23" t="n">
        <v>46943</v>
      </c>
      <c r="B401" s="20">
        <f>(A401-$A$398)/365</f>
        <v/>
      </c>
      <c r="C401" s="20" t="n">
        <v>0.3923611111</v>
      </c>
      <c r="D401" s="20" t="n">
        <v>8</v>
      </c>
      <c r="E401" s="20">
        <f>C401+D401</f>
        <v/>
      </c>
      <c r="F401" s="20">
        <f>E401/(1+$B$407)^B401</f>
        <v/>
      </c>
      <c r="G401" s="20">
        <f>B401*F401</f>
        <v/>
      </c>
      <c r="H401" s="20">
        <f>E401*B401*(B401+1)/(1+$B$407)^(B401+2)</f>
        <v/>
      </c>
      <c r="I401" s="20">
        <f>B401*E401</f>
        <v/>
      </c>
    </row>
    <row r="402">
      <c r="A402" s="23" t="n">
        <v>47127</v>
      </c>
      <c r="B402" s="20">
        <f>(A402-$A$398)/365</f>
        <v/>
      </c>
      <c r="C402" s="20" t="n">
        <v>0.3338888889</v>
      </c>
      <c r="D402" s="20" t="n">
        <v>8</v>
      </c>
      <c r="E402" s="20">
        <f>C402+D402</f>
        <v/>
      </c>
      <c r="F402" s="20">
        <f>E402/(1+$B$407)^B402</f>
        <v/>
      </c>
      <c r="G402" s="20">
        <f>B402*F402</f>
        <v/>
      </c>
      <c r="H402" s="20">
        <f>E402*B402*(B402+1)/(1+$B$407)^(B402+2)</f>
        <v/>
      </c>
      <c r="I402" s="20">
        <f>B402*E402</f>
        <v/>
      </c>
    </row>
    <row r="403">
      <c r="A403" s="23" t="n">
        <v>47308</v>
      </c>
      <c r="B403" s="20">
        <f>(A403-$A$398)/365</f>
        <v/>
      </c>
      <c r="C403" s="20" t="n">
        <v>0.2654166667</v>
      </c>
      <c r="D403" s="20" t="n">
        <v>8</v>
      </c>
      <c r="E403" s="20">
        <f>C403+D403</f>
        <v/>
      </c>
      <c r="F403" s="20">
        <f>E403/(1+$B$407)^B403</f>
        <v/>
      </c>
      <c r="G403" s="20">
        <f>B403*F403</f>
        <v/>
      </c>
      <c r="H403" s="20">
        <f>E403*B403*(B403+1)/(1+$B$407)^(B403+2)</f>
        <v/>
      </c>
      <c r="I403" s="20">
        <f>B403*E403</f>
        <v/>
      </c>
    </row>
    <row r="404">
      <c r="A404" s="23" t="n">
        <v>47492</v>
      </c>
      <c r="B404" s="20">
        <f>(A404-$A$398)/365</f>
        <v/>
      </c>
      <c r="C404" s="20" t="n">
        <v>0.1869444444</v>
      </c>
      <c r="D404" s="20" t="n">
        <v>8</v>
      </c>
      <c r="E404" s="20">
        <f>C404+D404</f>
        <v/>
      </c>
      <c r="F404" s="20">
        <f>E404/(1+$B$407)^B404</f>
        <v/>
      </c>
      <c r="G404" s="20">
        <f>B404*F404</f>
        <v/>
      </c>
      <c r="H404" s="20">
        <f>E404*B404*(B404+1)/(1+$B$407)^(B404+2)</f>
        <v/>
      </c>
      <c r="I404" s="20">
        <f>B404*E404</f>
        <v/>
      </c>
    </row>
    <row r="405">
      <c r="A405" s="23" t="n">
        <v>47673</v>
      </c>
      <c r="B405" s="20">
        <f>(A405-$A$398)/365</f>
        <v/>
      </c>
      <c r="C405" s="20" t="n">
        <v>0.0984722222</v>
      </c>
      <c r="D405" s="20" t="n">
        <v>8</v>
      </c>
      <c r="E405" s="20">
        <f>C405+D405</f>
        <v/>
      </c>
      <c r="F405" s="20">
        <f>E405/(1+$B$407)^B405</f>
        <v/>
      </c>
      <c r="G405" s="20">
        <f>B405*F405</f>
        <v/>
      </c>
      <c r="H405" s="20">
        <f>E405*B405*(B405+1)/(1+$B$407)^(B405+2)</f>
        <v/>
      </c>
      <c r="I405" s="20">
        <f>B405*E405</f>
        <v/>
      </c>
    </row>
    <row r="407">
      <c r="A407" s="5" t="inlineStr">
        <is>
          <t>TIR efectiva anual</t>
        </is>
      </c>
      <c r="B407" s="21">
        <f>XIRR(E398:E405,A398:A405)</f>
        <v/>
      </c>
    </row>
    <row r="408">
      <c r="A408" t="inlineStr">
        <is>
          <t>Precio</t>
        </is>
      </c>
      <c r="B408" s="20">
        <f>SUM(F399:F405)</f>
        <v/>
      </c>
    </row>
    <row r="409">
      <c r="A409" t="inlineStr">
        <is>
          <t>Duration</t>
        </is>
      </c>
      <c r="B409" s="20">
        <f>SUM(G399:G405)/B408</f>
        <v/>
      </c>
    </row>
    <row r="410">
      <c r="A410" t="inlineStr">
        <is>
          <t>DM = D/(1+TIR)</t>
        </is>
      </c>
      <c r="B410" s="20">
        <f>B409/(1+$B$407)</f>
        <v/>
      </c>
    </row>
    <row r="411">
      <c r="A411" t="inlineStr">
        <is>
          <t>Convexidad</t>
        </is>
      </c>
      <c r="B411" s="20">
        <f>SUM(H399:H405)/B408</f>
        <v/>
      </c>
    </row>
    <row r="412">
      <c r="A412" t="inlineStr">
        <is>
          <t>PPV</t>
        </is>
      </c>
      <c r="B412" s="20">
        <f>SUM(I399:I405)/SUM(E399:E405)</f>
        <v/>
      </c>
    </row>
    <row r="415">
      <c r="A415" s="3" t="inlineStr">
        <is>
          <t>Ejercicio 84</t>
        </is>
      </c>
      <c r="B415" s="3" t="inlineStr">
        <is>
          <t>Completo · GD35 · TIR</t>
        </is>
      </c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>
      <c r="A416" s="5" t="inlineStr">
        <is>
          <t>Respuesta</t>
        </is>
      </c>
      <c r="C416" s="18">
        <f>$B$437</f>
        <v/>
      </c>
      <c r="D416" s="2" t="inlineStr">
        <is>
          <t>11,33 %</t>
        </is>
      </c>
    </row>
    <row r="417">
      <c r="A417" t="inlineStr">
        <is>
          <t>En Excel</t>
        </is>
      </c>
      <c r="C417" t="inlineStr">
        <is>
          <t>Flujo con fechas: −precio el día de compra y cada pago en su fecha → =TIR.NO.PER(flujos;fechas)</t>
        </is>
      </c>
    </row>
    <row r="418" ht="30" customHeight="1">
      <c r="A418" t="inlineStr">
        <is>
          <t>Explicación</t>
        </is>
      </c>
      <c r="C418" s="8" t="inlineStr">
        <is>
          <t>TIR efectiva anual = 11,328 %. Precio = 70,000 · Duration = 4,3048 años · DM = 3,8667 · Convexidad = 20,423 · PPV = 4,5689.</t>
        </is>
      </c>
    </row>
    <row r="420">
      <c r="A420" s="19" t="inlineStr">
        <is>
          <t>Fecha</t>
        </is>
      </c>
      <c r="B420" s="19" t="inlineStr">
        <is>
          <t>t (años)</t>
        </is>
      </c>
      <c r="C420" s="19" t="inlineStr">
        <is>
          <t>Renta</t>
        </is>
      </c>
      <c r="D420" s="19" t="inlineStr">
        <is>
          <t>Amort.</t>
        </is>
      </c>
      <c r="E420" s="19" t="inlineStr">
        <is>
          <t>Flujo</t>
        </is>
      </c>
      <c r="F420" s="19" t="inlineStr">
        <is>
          <t>VA</t>
        </is>
      </c>
      <c r="G420" s="19" t="inlineStr">
        <is>
          <t>t · VA</t>
        </is>
      </c>
      <c r="H420" s="19" t="inlineStr">
        <is>
          <t>Convexidad</t>
        </is>
      </c>
      <c r="I420" s="19" t="inlineStr">
        <is>
          <t>t · Flujo</t>
        </is>
      </c>
    </row>
    <row r="421">
      <c r="A421" s="23" t="n">
        <v>46943</v>
      </c>
      <c r="B421" t="n">
        <v>0</v>
      </c>
      <c r="E421" t="n">
        <v>-70</v>
      </c>
    </row>
    <row r="422">
      <c r="A422" s="23" t="n">
        <v>47127</v>
      </c>
      <c r="B422" s="20">
        <f>(A422-$A$421)/365</f>
        <v/>
      </c>
      <c r="C422" s="20" t="n">
        <v>1.0434027778</v>
      </c>
      <c r="D422" s="20" t="n">
        <v>0</v>
      </c>
      <c r="E422" s="20">
        <f>C422+D422</f>
        <v/>
      </c>
      <c r="F422" s="20">
        <f>E422/(1+$B$437)^B422</f>
        <v/>
      </c>
      <c r="G422" s="20">
        <f>B422*F422</f>
        <v/>
      </c>
      <c r="H422" s="20">
        <f>E422*B422*(B422+1)/(1+$B$437)^(B422+2)</f>
        <v/>
      </c>
      <c r="I422" s="20">
        <f>B422*E422</f>
        <v/>
      </c>
    </row>
    <row r="423">
      <c r="A423" s="23" t="n">
        <v>47308</v>
      </c>
      <c r="B423" s="20">
        <f>(A423-$A$421)/365</f>
        <v/>
      </c>
      <c r="C423" s="20" t="n">
        <v>1.1059027778</v>
      </c>
      <c r="D423" s="20" t="n">
        <v>0</v>
      </c>
      <c r="E423" s="20">
        <f>C423+D423</f>
        <v/>
      </c>
      <c r="F423" s="20">
        <f>E423/(1+$B$437)^B423</f>
        <v/>
      </c>
      <c r="G423" s="20">
        <f>B423*F423</f>
        <v/>
      </c>
      <c r="H423" s="20">
        <f>E423*B423*(B423+1)/(1+$B$437)^(B423+2)</f>
        <v/>
      </c>
      <c r="I423" s="20">
        <f>B423*E423</f>
        <v/>
      </c>
    </row>
    <row r="424">
      <c r="A424" s="23" t="n">
        <v>47492</v>
      </c>
      <c r="B424" s="20">
        <f>(A424-$A$421)/365</f>
        <v/>
      </c>
      <c r="C424" s="20" t="n">
        <v>1.1684027778</v>
      </c>
      <c r="D424" s="20" t="n">
        <v>0</v>
      </c>
      <c r="E424" s="20">
        <f>C424+D424</f>
        <v/>
      </c>
      <c r="F424" s="20">
        <f>E424/(1+$B$437)^B424</f>
        <v/>
      </c>
      <c r="G424" s="20">
        <f>B424*F424</f>
        <v/>
      </c>
      <c r="H424" s="20">
        <f>E424*B424*(B424+1)/(1+$B$437)^(B424+2)</f>
        <v/>
      </c>
      <c r="I424" s="20">
        <f>B424*E424</f>
        <v/>
      </c>
    </row>
    <row r="425">
      <c r="A425" s="23" t="n">
        <v>47673</v>
      </c>
      <c r="B425" s="20">
        <f>(A425-$A$421)/365</f>
        <v/>
      </c>
      <c r="C425" s="20" t="n">
        <v>1.2309027778</v>
      </c>
      <c r="D425" s="20" t="n">
        <v>0</v>
      </c>
      <c r="E425" s="20">
        <f>C425+D425</f>
        <v/>
      </c>
      <c r="F425" s="20">
        <f>E425/(1+$B$437)^B425</f>
        <v/>
      </c>
      <c r="G425" s="20">
        <f>B425*F425</f>
        <v/>
      </c>
      <c r="H425" s="20">
        <f>E425*B425*(B425+1)/(1+$B$437)^(B425+2)</f>
        <v/>
      </c>
      <c r="I425" s="20">
        <f>B425*E425</f>
        <v/>
      </c>
    </row>
    <row r="426">
      <c r="A426" s="23" t="n">
        <v>47857</v>
      </c>
      <c r="B426" s="20">
        <f>(A426-$A$421)/365</f>
        <v/>
      </c>
      <c r="C426" s="20" t="n">
        <v>1.2934027778</v>
      </c>
      <c r="D426" s="20" t="n">
        <v>10</v>
      </c>
      <c r="E426" s="20">
        <f>C426+D426</f>
        <v/>
      </c>
      <c r="F426" s="20">
        <f>E426/(1+$B$437)^B426</f>
        <v/>
      </c>
      <c r="G426" s="20">
        <f>B426*F426</f>
        <v/>
      </c>
      <c r="H426" s="20">
        <f>E426*B426*(B426+1)/(1+$B$437)^(B426+2)</f>
        <v/>
      </c>
      <c r="I426" s="20">
        <f>B426*E426</f>
        <v/>
      </c>
    </row>
    <row r="427">
      <c r="A427" s="23" t="n">
        <v>48038</v>
      </c>
      <c r="B427" s="20">
        <f>(A427-$A$421)/365</f>
        <v/>
      </c>
      <c r="C427" s="20" t="n">
        <v>1.2203125</v>
      </c>
      <c r="D427" s="20" t="n">
        <v>10</v>
      </c>
      <c r="E427" s="20">
        <f>C427+D427</f>
        <v/>
      </c>
      <c r="F427" s="20">
        <f>E427/(1+$B$437)^B427</f>
        <v/>
      </c>
      <c r="G427" s="20">
        <f>B427*F427</f>
        <v/>
      </c>
      <c r="H427" s="20">
        <f>E427*B427*(B427+1)/(1+$B$437)^(B427+2)</f>
        <v/>
      </c>
      <c r="I427" s="20">
        <f>B427*E427</f>
        <v/>
      </c>
    </row>
    <row r="428">
      <c r="A428" s="23" t="n">
        <v>48222</v>
      </c>
      <c r="B428" s="20">
        <f>(A428-$A$421)/365</f>
        <v/>
      </c>
      <c r="C428" s="20" t="n">
        <v>1.1347222222</v>
      </c>
      <c r="D428" s="20" t="n">
        <v>10</v>
      </c>
      <c r="E428" s="20">
        <f>C428+D428</f>
        <v/>
      </c>
      <c r="F428" s="20">
        <f>E428/(1+$B$437)^B428</f>
        <v/>
      </c>
      <c r="G428" s="20">
        <f>B428*F428</f>
        <v/>
      </c>
      <c r="H428" s="20">
        <f>E428*B428*(B428+1)/(1+$B$437)^(B428+2)</f>
        <v/>
      </c>
      <c r="I428" s="20">
        <f>B428*E428</f>
        <v/>
      </c>
    </row>
    <row r="429">
      <c r="A429" s="23" t="n">
        <v>48404</v>
      </c>
      <c r="B429" s="20">
        <f>(A429-$A$421)/365</f>
        <v/>
      </c>
      <c r="C429" s="20" t="n">
        <v>1.0366319444</v>
      </c>
      <c r="D429" s="20" t="n">
        <v>10</v>
      </c>
      <c r="E429" s="20">
        <f>C429+D429</f>
        <v/>
      </c>
      <c r="F429" s="20">
        <f>E429/(1+$B$437)^B429</f>
        <v/>
      </c>
      <c r="G429" s="20">
        <f>B429*F429</f>
        <v/>
      </c>
      <c r="H429" s="20">
        <f>E429*B429*(B429+1)/(1+$B$437)^(B429+2)</f>
        <v/>
      </c>
      <c r="I429" s="20">
        <f>B429*E429</f>
        <v/>
      </c>
    </row>
    <row r="430">
      <c r="A430" s="23" t="n">
        <v>48588</v>
      </c>
      <c r="B430" s="20">
        <f>(A430-$A$421)/365</f>
        <v/>
      </c>
      <c r="C430" s="20" t="n">
        <v>0.9260416667</v>
      </c>
      <c r="D430" s="20" t="n">
        <v>10</v>
      </c>
      <c r="E430" s="20">
        <f>C430+D430</f>
        <v/>
      </c>
      <c r="F430" s="20">
        <f>E430/(1+$B$437)^B430</f>
        <v/>
      </c>
      <c r="G430" s="20">
        <f>B430*F430</f>
        <v/>
      </c>
      <c r="H430" s="20">
        <f>E430*B430*(B430+1)/(1+$B$437)^(B430+2)</f>
        <v/>
      </c>
      <c r="I430" s="20">
        <f>B430*E430</f>
        <v/>
      </c>
    </row>
    <row r="431">
      <c r="A431" s="23" t="n">
        <v>48769</v>
      </c>
      <c r="B431" s="20">
        <f>(A431-$A$421)/365</f>
        <v/>
      </c>
      <c r="C431" s="20" t="n">
        <v>0.8029513889</v>
      </c>
      <c r="D431" s="20" t="n">
        <v>10</v>
      </c>
      <c r="E431" s="20">
        <f>C431+D431</f>
        <v/>
      </c>
      <c r="F431" s="20">
        <f>E431/(1+$B$437)^B431</f>
        <v/>
      </c>
      <c r="G431" s="20">
        <f>B431*F431</f>
        <v/>
      </c>
      <c r="H431" s="20">
        <f>E431*B431*(B431+1)/(1+$B$437)^(B431+2)</f>
        <v/>
      </c>
      <c r="I431" s="20">
        <f>B431*E431</f>
        <v/>
      </c>
    </row>
    <row r="432">
      <c r="A432" s="23" t="n">
        <v>48953</v>
      </c>
      <c r="B432" s="20">
        <f>(A432-$A$421)/365</f>
        <v/>
      </c>
      <c r="C432" s="20" t="n">
        <v>0.6673611111</v>
      </c>
      <c r="D432" s="20" t="n">
        <v>10</v>
      </c>
      <c r="E432" s="20">
        <f>C432+D432</f>
        <v/>
      </c>
      <c r="F432" s="20">
        <f>E432/(1+$B$437)^B432</f>
        <v/>
      </c>
      <c r="G432" s="20">
        <f>B432*F432</f>
        <v/>
      </c>
      <c r="H432" s="20">
        <f>E432*B432*(B432+1)/(1+$B$437)^(B432+2)</f>
        <v/>
      </c>
      <c r="I432" s="20">
        <f>B432*E432</f>
        <v/>
      </c>
    </row>
    <row r="433">
      <c r="A433" s="23" t="n">
        <v>49134</v>
      </c>
      <c r="B433" s="20">
        <f>(A433-$A$421)/365</f>
        <v/>
      </c>
      <c r="C433" s="20" t="n">
        <v>0.5192708333</v>
      </c>
      <c r="D433" s="20" t="n">
        <v>10</v>
      </c>
      <c r="E433" s="20">
        <f>C433+D433</f>
        <v/>
      </c>
      <c r="F433" s="20">
        <f>E433/(1+$B$437)^B433</f>
        <v/>
      </c>
      <c r="G433" s="20">
        <f>B433*F433</f>
        <v/>
      </c>
      <c r="H433" s="20">
        <f>E433*B433*(B433+1)/(1+$B$437)^(B433+2)</f>
        <v/>
      </c>
      <c r="I433" s="20">
        <f>B433*E433</f>
        <v/>
      </c>
    </row>
    <row r="434">
      <c r="A434" s="23" t="n">
        <v>49318</v>
      </c>
      <c r="B434" s="20">
        <f>(A434-$A$421)/365</f>
        <v/>
      </c>
      <c r="C434" s="20" t="n">
        <v>0.3586805556</v>
      </c>
      <c r="D434" s="20" t="n">
        <v>10</v>
      </c>
      <c r="E434" s="20">
        <f>C434+D434</f>
        <v/>
      </c>
      <c r="F434" s="20">
        <f>E434/(1+$B$437)^B434</f>
        <v/>
      </c>
      <c r="G434" s="20">
        <f>B434*F434</f>
        <v/>
      </c>
      <c r="H434" s="20">
        <f>E434*B434*(B434+1)/(1+$B$437)^(B434+2)</f>
        <v/>
      </c>
      <c r="I434" s="20">
        <f>B434*E434</f>
        <v/>
      </c>
    </row>
    <row r="435">
      <c r="A435" s="23" t="n">
        <v>49499</v>
      </c>
      <c r="B435" s="20">
        <f>(A435-$A$421)/365</f>
        <v/>
      </c>
      <c r="C435" s="20" t="n">
        <v>0.1855902778</v>
      </c>
      <c r="D435" s="20" t="n">
        <v>10</v>
      </c>
      <c r="E435" s="20">
        <f>C435+D435</f>
        <v/>
      </c>
      <c r="F435" s="20">
        <f>E435/(1+$B$437)^B435</f>
        <v/>
      </c>
      <c r="G435" s="20">
        <f>B435*F435</f>
        <v/>
      </c>
      <c r="H435" s="20">
        <f>E435*B435*(B435+1)/(1+$B$437)^(B435+2)</f>
        <v/>
      </c>
      <c r="I435" s="20">
        <f>B435*E435</f>
        <v/>
      </c>
    </row>
    <row r="437">
      <c r="A437" s="5" t="inlineStr">
        <is>
          <t>TIR efectiva anual</t>
        </is>
      </c>
      <c r="B437" s="21">
        <f>XIRR(E421:E435,A421:A435)</f>
        <v/>
      </c>
    </row>
    <row r="438">
      <c r="A438" t="inlineStr">
        <is>
          <t>Precio</t>
        </is>
      </c>
      <c r="B438" s="20">
        <f>SUM(F422:F435)</f>
        <v/>
      </c>
    </row>
    <row r="439">
      <c r="A439" t="inlineStr">
        <is>
          <t>Duration</t>
        </is>
      </c>
      <c r="B439" s="20">
        <f>SUM(G422:G435)/B438</f>
        <v/>
      </c>
    </row>
    <row r="440">
      <c r="A440" t="inlineStr">
        <is>
          <t>DM = D/(1+TIR)</t>
        </is>
      </c>
      <c r="B440" s="20">
        <f>B439/(1+$B$437)</f>
        <v/>
      </c>
    </row>
    <row r="441">
      <c r="A441" t="inlineStr">
        <is>
          <t>Convexidad</t>
        </is>
      </c>
      <c r="B441" s="20">
        <f>SUM(H422:H435)/B438</f>
        <v/>
      </c>
    </row>
    <row r="442">
      <c r="A442" t="inlineStr">
        <is>
          <t>PPV</t>
        </is>
      </c>
      <c r="B442" s="20">
        <f>SUM(I422:I435)/SUM(E422:E435)</f>
        <v/>
      </c>
    </row>
    <row r="445">
      <c r="A445" s="3" t="inlineStr">
        <is>
          <t>Ejercicio 85</t>
        </is>
      </c>
      <c r="B445" s="3" t="inlineStr">
        <is>
          <t>Completo · Precio con fechas</t>
        </is>
      </c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>
      <c r="A446" s="5" t="inlineStr">
        <is>
          <t>Respuesta</t>
        </is>
      </c>
      <c r="C446" s="22">
        <f>B459</f>
        <v/>
      </c>
      <c r="D446" s="2" t="inlineStr">
        <is>
          <t>97,03</t>
        </is>
      </c>
    </row>
    <row r="447">
      <c r="A447" t="inlineStr">
        <is>
          <t>En Excel</t>
        </is>
      </c>
      <c r="C447" t="inlineStr">
        <is>
          <t>Flujo con fechas: −precio el día de compra y cada pago en su fecha → VA de cada flujo = flujo/(1+TEA)^(días/365)</t>
        </is>
      </c>
    </row>
    <row r="448" ht="30" customHeight="1">
      <c r="A448" t="inlineStr">
        <is>
          <t>Explicación</t>
        </is>
      </c>
      <c r="C448" s="8" t="inlineStr">
        <is>
          <t>TIR efectiva anual usada = 11,000 %. Precio = 97,031 · Duration = 1,2004 años · DM = 1,0814 · Convexidad = 2,172 · PPV = 1,2038.</t>
        </is>
      </c>
    </row>
    <row r="450">
      <c r="A450" s="19" t="inlineStr">
        <is>
          <t>Fecha</t>
        </is>
      </c>
      <c r="B450" s="19" t="inlineStr">
        <is>
          <t>t (años)</t>
        </is>
      </c>
      <c r="C450" s="19" t="inlineStr">
        <is>
          <t>Renta</t>
        </is>
      </c>
      <c r="D450" s="19" t="inlineStr">
        <is>
          <t>Amort.</t>
        </is>
      </c>
      <c r="E450" s="19" t="inlineStr">
        <is>
          <t>Flujo</t>
        </is>
      </c>
      <c r="F450" s="19" t="inlineStr">
        <is>
          <t>VA</t>
        </is>
      </c>
      <c r="G450" s="19" t="inlineStr">
        <is>
          <t>t · VA</t>
        </is>
      </c>
      <c r="H450" s="19" t="inlineStr">
        <is>
          <t>Convexidad</t>
        </is>
      </c>
      <c r="I450" s="19" t="inlineStr">
        <is>
          <t>t · Flujo</t>
        </is>
      </c>
    </row>
    <row r="451">
      <c r="A451" s="23" t="n">
        <v>46371</v>
      </c>
      <c r="B451" t="n">
        <v>0</v>
      </c>
      <c r="E451" t="n">
        <v>0</v>
      </c>
    </row>
    <row r="452">
      <c r="A452" s="23" t="n">
        <v>46461</v>
      </c>
      <c r="B452" s="20">
        <f>(A452-$A$451)/365</f>
        <v/>
      </c>
      <c r="C452" s="20" t="n">
        <v>2</v>
      </c>
      <c r="D452" s="20" t="n">
        <v>0</v>
      </c>
      <c r="E452" s="20">
        <f>C452+D452</f>
        <v/>
      </c>
      <c r="F452" s="20">
        <f>E452/(1+$B$458)^B452</f>
        <v/>
      </c>
      <c r="G452" s="20">
        <f>B452*F452</f>
        <v/>
      </c>
      <c r="H452" s="20">
        <f>E452*B452*(B452+1)/(1+$B$458)^(B452+2)</f>
        <v/>
      </c>
      <c r="I452" s="20">
        <f>B452*E452</f>
        <v/>
      </c>
    </row>
    <row r="453">
      <c r="A453" s="23" t="n">
        <v>46553</v>
      </c>
      <c r="B453" s="20">
        <f>(A453-$A$451)/365</f>
        <v/>
      </c>
      <c r="C453" s="20" t="n">
        <v>2</v>
      </c>
      <c r="D453" s="20" t="n">
        <v>0</v>
      </c>
      <c r="E453" s="20">
        <f>C453+D453</f>
        <v/>
      </c>
      <c r="F453" s="20">
        <f>E453/(1+$B$458)^B453</f>
        <v/>
      </c>
      <c r="G453" s="20">
        <f>B453*F453</f>
        <v/>
      </c>
      <c r="H453" s="20">
        <f>E453*B453*(B453+1)/(1+$B$458)^(B453+2)</f>
        <v/>
      </c>
      <c r="I453" s="20">
        <f>B453*E453</f>
        <v/>
      </c>
    </row>
    <row r="454">
      <c r="A454" s="23" t="n">
        <v>46645</v>
      </c>
      <c r="B454" s="20">
        <f>(A454-$A$451)/365</f>
        <v/>
      </c>
      <c r="C454" s="20" t="n">
        <v>2</v>
      </c>
      <c r="D454" s="20" t="n">
        <v>0</v>
      </c>
      <c r="E454" s="20">
        <f>C454+D454</f>
        <v/>
      </c>
      <c r="F454" s="20">
        <f>E454/(1+$B$458)^B454</f>
        <v/>
      </c>
      <c r="G454" s="20">
        <f>B454*F454</f>
        <v/>
      </c>
      <c r="H454" s="20">
        <f>E454*B454*(B454+1)/(1+$B$458)^(B454+2)</f>
        <v/>
      </c>
      <c r="I454" s="20">
        <f>B454*E454</f>
        <v/>
      </c>
    </row>
    <row r="455">
      <c r="A455" s="23" t="n">
        <v>46736</v>
      </c>
      <c r="B455" s="20">
        <f>(A455-$A$451)/365</f>
        <v/>
      </c>
      <c r="C455" s="20" t="n">
        <v>2</v>
      </c>
      <c r="D455" s="20" t="n">
        <v>0</v>
      </c>
      <c r="E455" s="20">
        <f>C455+D455</f>
        <v/>
      </c>
      <c r="F455" s="20">
        <f>E455/(1+$B$458)^B455</f>
        <v/>
      </c>
      <c r="G455" s="20">
        <f>B455*F455</f>
        <v/>
      </c>
      <c r="H455" s="20">
        <f>E455*B455*(B455+1)/(1+$B$458)^(B455+2)</f>
        <v/>
      </c>
      <c r="I455" s="20">
        <f>B455*E455</f>
        <v/>
      </c>
    </row>
    <row r="456">
      <c r="A456" s="23" t="n">
        <v>46827</v>
      </c>
      <c r="B456" s="20">
        <f>(A456-$A$451)/365</f>
        <v/>
      </c>
      <c r="C456" s="20" t="n">
        <v>2</v>
      </c>
      <c r="D456" s="20" t="n">
        <v>100</v>
      </c>
      <c r="E456" s="20">
        <f>C456+D456</f>
        <v/>
      </c>
      <c r="F456" s="20">
        <f>E456/(1+$B$458)^B456</f>
        <v/>
      </c>
      <c r="G456" s="20">
        <f>B456*F456</f>
        <v/>
      </c>
      <c r="H456" s="20">
        <f>E456*B456*(B456+1)/(1+$B$458)^(B456+2)</f>
        <v/>
      </c>
      <c r="I456" s="20">
        <f>B456*E456</f>
        <v/>
      </c>
    </row>
    <row r="458">
      <c r="A458" s="5" t="inlineStr">
        <is>
          <t>TIR efectiva anual</t>
        </is>
      </c>
      <c r="B458" s="21" t="n">
        <v>0.11</v>
      </c>
    </row>
    <row r="459">
      <c r="A459" t="inlineStr">
        <is>
          <t>Precio</t>
        </is>
      </c>
      <c r="B459" s="20">
        <f>SUM(F452:F456)</f>
        <v/>
      </c>
    </row>
    <row r="460">
      <c r="A460" t="inlineStr">
        <is>
          <t>Duration</t>
        </is>
      </c>
      <c r="B460" s="20">
        <f>SUM(G452:G456)/B459</f>
        <v/>
      </c>
    </row>
    <row r="461">
      <c r="A461" t="inlineStr">
        <is>
          <t>DM = D/(1+TIR)</t>
        </is>
      </c>
      <c r="B461" s="20">
        <f>B460/(1+$B$458)</f>
        <v/>
      </c>
    </row>
    <row r="462">
      <c r="A462" t="inlineStr">
        <is>
          <t>Convexidad</t>
        </is>
      </c>
      <c r="B462" s="20">
        <f>SUM(H452:H456)/B459</f>
        <v/>
      </c>
    </row>
    <row r="463">
      <c r="A463" t="inlineStr">
        <is>
          <t>PPV</t>
        </is>
      </c>
      <c r="B463" s="20">
        <f>SUM(I452:I456)/SUM(E452:E456)</f>
        <v/>
      </c>
    </row>
    <row r="466">
      <c r="A466" s="3" t="inlineStr">
        <is>
          <t>Ejercicio 86</t>
        </is>
      </c>
      <c r="B466" s="3" t="inlineStr">
        <is>
          <t>Completo · Duration con fechas</t>
        </is>
      </c>
      <c r="C466" s="7" t="n"/>
      <c r="D466" s="7" t="n"/>
      <c r="E466" s="7" t="n"/>
      <c r="F466" s="7" t="n"/>
      <c r="G466" s="7" t="n"/>
      <c r="H466" s="7" t="n"/>
      <c r="I466" s="7" t="n"/>
      <c r="J466" s="7" t="n"/>
    </row>
    <row r="467">
      <c r="A467" s="5" t="inlineStr">
        <is>
          <t>Respuesta</t>
        </is>
      </c>
      <c r="C467" s="22">
        <f>B482</f>
        <v/>
      </c>
      <c r="D467" s="2" t="inlineStr">
        <is>
          <t>2,783</t>
        </is>
      </c>
    </row>
    <row r="468">
      <c r="A468" t="inlineStr">
        <is>
          <t>En Excel</t>
        </is>
      </c>
      <c r="C468" t="inlineStr">
        <is>
          <t>Flujo con fechas: −precio el día de compra y cada pago en su fecha → VA de cada flujo = flujo/(1+TEA)^(días/365)</t>
        </is>
      </c>
    </row>
    <row r="469" ht="30" customHeight="1">
      <c r="A469" t="inlineStr">
        <is>
          <t>Explicación</t>
        </is>
      </c>
      <c r="C469" s="8" t="inlineStr">
        <is>
          <t>TIR efectiva anual usada = 9,000 %. Precio = 92,721 · Duration = 2,7827 años · DM = 2,5529 · Convexidad = 9,165 · PPV = 2,8118.</t>
        </is>
      </c>
    </row>
    <row r="471">
      <c r="A471" s="19" t="inlineStr">
        <is>
          <t>Fecha</t>
        </is>
      </c>
      <c r="B471" s="19" t="inlineStr">
        <is>
          <t>t (años)</t>
        </is>
      </c>
      <c r="C471" s="19" t="inlineStr">
        <is>
          <t>Renta</t>
        </is>
      </c>
      <c r="D471" s="19" t="inlineStr">
        <is>
          <t>Amort.</t>
        </is>
      </c>
      <c r="E471" s="19" t="inlineStr">
        <is>
          <t>Flujo</t>
        </is>
      </c>
      <c r="F471" s="19" t="inlineStr">
        <is>
          <t>VA</t>
        </is>
      </c>
      <c r="G471" s="19" t="inlineStr">
        <is>
          <t>t · VA</t>
        </is>
      </c>
      <c r="H471" s="19" t="inlineStr">
        <is>
          <t>Convexidad</t>
        </is>
      </c>
      <c r="I471" s="19" t="inlineStr">
        <is>
          <t>t · Flujo</t>
        </is>
      </c>
    </row>
    <row r="472">
      <c r="A472" s="23" t="n">
        <v>46357</v>
      </c>
      <c r="B472" t="n">
        <v>0</v>
      </c>
      <c r="E472" t="n">
        <v>0</v>
      </c>
    </row>
    <row r="473">
      <c r="A473" s="23" t="n">
        <v>46539</v>
      </c>
      <c r="B473" s="20">
        <f>(A473-$A$472)/365</f>
        <v/>
      </c>
      <c r="C473" s="20" t="n">
        <v>3</v>
      </c>
      <c r="D473" s="20" t="n">
        <v>0</v>
      </c>
      <c r="E473" s="20">
        <f>C473+D473</f>
        <v/>
      </c>
      <c r="F473" s="20">
        <f>E473/(1+$B$480)^B473</f>
        <v/>
      </c>
      <c r="G473" s="20">
        <f>B473*F473</f>
        <v/>
      </c>
      <c r="H473" s="20">
        <f>E473*B473*(B473+1)/(1+$B$480)^(B473+2)</f>
        <v/>
      </c>
      <c r="I473" s="20">
        <f>B473*E473</f>
        <v/>
      </c>
    </row>
    <row r="474">
      <c r="A474" s="23" t="n">
        <v>46722</v>
      </c>
      <c r="B474" s="20">
        <f>(A474-$A$472)/365</f>
        <v/>
      </c>
      <c r="C474" s="20" t="n">
        <v>3</v>
      </c>
      <c r="D474" s="20" t="n">
        <v>0</v>
      </c>
      <c r="E474" s="20">
        <f>C474+D474</f>
        <v/>
      </c>
      <c r="F474" s="20">
        <f>E474/(1+$B$480)^B474</f>
        <v/>
      </c>
      <c r="G474" s="20">
        <f>B474*F474</f>
        <v/>
      </c>
      <c r="H474" s="20">
        <f>E474*B474*(B474+1)/(1+$B$480)^(B474+2)</f>
        <v/>
      </c>
      <c r="I474" s="20">
        <f>B474*E474</f>
        <v/>
      </c>
    </row>
    <row r="475">
      <c r="A475" s="23" t="n">
        <v>46905</v>
      </c>
      <c r="B475" s="20">
        <f>(A475-$A$472)/365</f>
        <v/>
      </c>
      <c r="C475" s="20" t="n">
        <v>3</v>
      </c>
      <c r="D475" s="20" t="n">
        <v>0</v>
      </c>
      <c r="E475" s="20">
        <f>C475+D475</f>
        <v/>
      </c>
      <c r="F475" s="20">
        <f>E475/(1+$B$480)^B475</f>
        <v/>
      </c>
      <c r="G475" s="20">
        <f>B475*F475</f>
        <v/>
      </c>
      <c r="H475" s="20">
        <f>E475*B475*(B475+1)/(1+$B$480)^(B475+2)</f>
        <v/>
      </c>
      <c r="I475" s="20">
        <f>B475*E475</f>
        <v/>
      </c>
    </row>
    <row r="476">
      <c r="A476" s="23" t="n">
        <v>47088</v>
      </c>
      <c r="B476" s="20">
        <f>(A476-$A$472)/365</f>
        <v/>
      </c>
      <c r="C476" s="20" t="n">
        <v>3</v>
      </c>
      <c r="D476" s="20" t="n">
        <v>0</v>
      </c>
      <c r="E476" s="20">
        <f>C476+D476</f>
        <v/>
      </c>
      <c r="F476" s="20">
        <f>E476/(1+$B$480)^B476</f>
        <v/>
      </c>
      <c r="G476" s="20">
        <f>B476*F476</f>
        <v/>
      </c>
      <c r="H476" s="20">
        <f>E476*B476*(B476+1)/(1+$B$480)^(B476+2)</f>
        <v/>
      </c>
      <c r="I476" s="20">
        <f>B476*E476</f>
        <v/>
      </c>
    </row>
    <row r="477">
      <c r="A477" s="23" t="n">
        <v>47270</v>
      </c>
      <c r="B477" s="20">
        <f>(A477-$A$472)/365</f>
        <v/>
      </c>
      <c r="C477" s="20" t="n">
        <v>3</v>
      </c>
      <c r="D477" s="20" t="n">
        <v>0</v>
      </c>
      <c r="E477" s="20">
        <f>C477+D477</f>
        <v/>
      </c>
      <c r="F477" s="20">
        <f>E477/(1+$B$480)^B477</f>
        <v/>
      </c>
      <c r="G477" s="20">
        <f>B477*F477</f>
        <v/>
      </c>
      <c r="H477" s="20">
        <f>E477*B477*(B477+1)/(1+$B$480)^(B477+2)</f>
        <v/>
      </c>
      <c r="I477" s="20">
        <f>B477*E477</f>
        <v/>
      </c>
    </row>
    <row r="478">
      <c r="A478" s="23" t="n">
        <v>47453</v>
      </c>
      <c r="B478" s="20">
        <f>(A478-$A$472)/365</f>
        <v/>
      </c>
      <c r="C478" s="20" t="n">
        <v>3</v>
      </c>
      <c r="D478" s="20" t="n">
        <v>100</v>
      </c>
      <c r="E478" s="20">
        <f>C478+D478</f>
        <v/>
      </c>
      <c r="F478" s="20">
        <f>E478/(1+$B$480)^B478</f>
        <v/>
      </c>
      <c r="G478" s="20">
        <f>B478*F478</f>
        <v/>
      </c>
      <c r="H478" s="20">
        <f>E478*B478*(B478+1)/(1+$B$480)^(B478+2)</f>
        <v/>
      </c>
      <c r="I478" s="20">
        <f>B478*E478</f>
        <v/>
      </c>
    </row>
    <row r="480">
      <c r="A480" s="5" t="inlineStr">
        <is>
          <t>TIR efectiva anual</t>
        </is>
      </c>
      <c r="B480" s="21" t="n">
        <v>0.09</v>
      </c>
    </row>
    <row r="481">
      <c r="A481" t="inlineStr">
        <is>
          <t>Precio</t>
        </is>
      </c>
      <c r="B481" s="20">
        <f>SUM(F473:F478)</f>
        <v/>
      </c>
    </row>
    <row r="482">
      <c r="A482" t="inlineStr">
        <is>
          <t>Duration</t>
        </is>
      </c>
      <c r="B482" s="20">
        <f>SUM(G473:G478)/B481</f>
        <v/>
      </c>
    </row>
    <row r="483">
      <c r="A483" t="inlineStr">
        <is>
          <t>DM = D/(1+TIR)</t>
        </is>
      </c>
      <c r="B483" s="20">
        <f>B482/(1+$B$480)</f>
        <v/>
      </c>
    </row>
    <row r="484">
      <c r="A484" t="inlineStr">
        <is>
          <t>Convexidad</t>
        </is>
      </c>
      <c r="B484" s="20">
        <f>SUM(H473:H478)/B481</f>
        <v/>
      </c>
    </row>
    <row r="485">
      <c r="A485" t="inlineStr">
        <is>
          <t>PPV</t>
        </is>
      </c>
      <c r="B485" s="20">
        <f>SUM(I473:I478)/SUM(E473:E478)</f>
        <v/>
      </c>
    </row>
    <row r="488">
      <c r="A488" s="3" t="inlineStr">
        <is>
          <t>Ejercicio 87</t>
        </is>
      </c>
      <c r="B488" s="3" t="inlineStr">
        <is>
          <t>Completo · Letra · TEM</t>
        </is>
      </c>
      <c r="C488" s="7" t="n"/>
      <c r="D488" s="7" t="n"/>
      <c r="E488" s="7" t="n"/>
      <c r="F488" s="7" t="n"/>
      <c r="G488" s="7" t="n"/>
      <c r="H488" s="7" t="n"/>
      <c r="I488" s="7" t="n"/>
      <c r="J488" s="7" t="n"/>
    </row>
    <row r="489">
      <c r="A489" s="5" t="inlineStr">
        <is>
          <t>Respuesta</t>
        </is>
      </c>
      <c r="C489" s="18">
        <f>(1+$B$497)^(30/365)-1</f>
        <v/>
      </c>
      <c r="D489" s="2" t="inlineStr">
        <is>
          <t>1,94 %</t>
        </is>
      </c>
    </row>
    <row r="490">
      <c r="A490" t="inlineStr">
        <is>
          <t>En Excel</t>
        </is>
      </c>
      <c r="C490" t="inlineStr">
        <is>
          <t>=TIR(flujos) da la tasa del período; TEA = (1+TIR)^3.0416666666666665−1</t>
        </is>
      </c>
    </row>
    <row r="491" ht="45" customHeight="1">
      <c r="A491" t="inlineStr">
        <is>
          <t>Explicación</t>
        </is>
      </c>
      <c r="C491" s="8" t="inlineStr">
        <is>
          <t>TIR efectiva anual = 26,280 %. Precio = 104,100 · Duration = 0,3288 años · DM = 0,2603 · Convexidad = 0,274 · PPV = 0,3288. TEM = (1 + TEA)^(30/365) − 1, o directo (112,40/104,10)^(30/120) − 1.</t>
        </is>
      </c>
    </row>
    <row r="493">
      <c r="A493" s="19" t="inlineStr">
        <is>
          <t>Período</t>
        </is>
      </c>
      <c r="B493" s="19" t="inlineStr">
        <is>
          <t>t (años)</t>
        </is>
      </c>
      <c r="C493" s="19" t="inlineStr">
        <is>
          <t>Renta</t>
        </is>
      </c>
      <c r="D493" s="19" t="inlineStr">
        <is>
          <t>Amort.</t>
        </is>
      </c>
      <c r="E493" s="19" t="inlineStr">
        <is>
          <t>Flujo</t>
        </is>
      </c>
      <c r="F493" s="19" t="inlineStr">
        <is>
          <t>VA</t>
        </is>
      </c>
      <c r="G493" s="19" t="inlineStr">
        <is>
          <t>t · VA</t>
        </is>
      </c>
      <c r="H493" s="19" t="inlineStr">
        <is>
          <t>Convexidad</t>
        </is>
      </c>
      <c r="I493" s="19" t="inlineStr">
        <is>
          <t>t · Flujo</t>
        </is>
      </c>
    </row>
    <row r="494">
      <c r="A494" t="n">
        <v>0</v>
      </c>
      <c r="B494" t="n">
        <v>0</v>
      </c>
      <c r="E494" t="n">
        <v>-104.1</v>
      </c>
    </row>
    <row r="495">
      <c r="A495" t="n">
        <v>1</v>
      </c>
      <c r="B495" s="20">
        <f>A495/3.041666667</f>
        <v/>
      </c>
      <c r="C495" s="20" t="n">
        <v>0</v>
      </c>
      <c r="D495" s="20" t="n">
        <v>112.4</v>
      </c>
      <c r="E495" s="20">
        <f>C495+D495</f>
        <v/>
      </c>
      <c r="F495" s="20">
        <f>E495/(1+$B$497)^B495</f>
        <v/>
      </c>
      <c r="G495" s="20">
        <f>B495*F495</f>
        <v/>
      </c>
      <c r="H495" s="20">
        <f>E495*B495*(B495+1)/(1+$B$497)^(B495+2)</f>
        <v/>
      </c>
      <c r="I495" s="20">
        <f>B495*E495</f>
        <v/>
      </c>
    </row>
    <row r="497">
      <c r="A497" s="5" t="inlineStr">
        <is>
          <t>TIR efectiva anual</t>
        </is>
      </c>
      <c r="B497" s="21">
        <f>(1+IRR(E494:E495))^3.041666667-1</f>
        <v/>
      </c>
    </row>
    <row r="498">
      <c r="A498" t="inlineStr">
        <is>
          <t>Precio</t>
        </is>
      </c>
      <c r="B498" s="20">
        <f>SUM(F495:F495)</f>
        <v/>
      </c>
    </row>
    <row r="499">
      <c r="A499" t="inlineStr">
        <is>
          <t>Duration</t>
        </is>
      </c>
      <c r="B499" s="20">
        <f>SUM(G495:G495)/B498</f>
        <v/>
      </c>
    </row>
    <row r="500">
      <c r="A500" t="inlineStr">
        <is>
          <t>DM = D/(1+TIR)</t>
        </is>
      </c>
      <c r="B500" s="20">
        <f>B499/(1+$B$497)</f>
        <v/>
      </c>
    </row>
    <row r="501">
      <c r="A501" t="inlineStr">
        <is>
          <t>Convexidad</t>
        </is>
      </c>
      <c r="B501" s="20">
        <f>SUM(H495:H495)/B498</f>
        <v/>
      </c>
    </row>
    <row r="502">
      <c r="A502" t="inlineStr">
        <is>
          <t>PPV</t>
        </is>
      </c>
      <c r="B502" s="20">
        <f>SUM(I495:I495)/SUM(E495:E495)</f>
        <v/>
      </c>
    </row>
    <row r="505">
      <c r="A505" s="3" t="inlineStr">
        <is>
          <t>Ejercicio 88</t>
        </is>
      </c>
      <c r="B505" s="3" t="inlineStr">
        <is>
          <t>Completo · ON trimestral amortizable · TEA</t>
        </is>
      </c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>
      <c r="A506" s="5" t="inlineStr">
        <is>
          <t>Respuesta</t>
        </is>
      </c>
      <c r="C506" s="18">
        <f>$B$525</f>
        <v/>
      </c>
      <c r="D506" s="2" t="inlineStr">
        <is>
          <t>7,51 %</t>
        </is>
      </c>
    </row>
    <row r="507">
      <c r="A507" t="inlineStr">
        <is>
          <t>En Excel</t>
        </is>
      </c>
      <c r="C507" t="inlineStr">
        <is>
          <t>=TIR(flujos) da la tasa del período; TEA = (1+TIR)^4−1</t>
        </is>
      </c>
    </row>
    <row r="508" ht="30" customHeight="1">
      <c r="A508" t="inlineStr">
        <is>
          <t>Explicación</t>
        </is>
      </c>
      <c r="C508" s="8" t="inlineStr">
        <is>
          <t>TIR efectiva anual = 7,513 %. Precio = 99,300 · Duration = 2,3063 años · DM = 2,1452 · Convexidad = 7,006 · PPV = 2,3399.</t>
        </is>
      </c>
    </row>
    <row r="510">
      <c r="A510" s="19" t="inlineStr">
        <is>
          <t>Período</t>
        </is>
      </c>
      <c r="B510" s="19" t="inlineStr">
        <is>
          <t>t (años)</t>
        </is>
      </c>
      <c r="C510" s="19" t="inlineStr">
        <is>
          <t>Renta</t>
        </is>
      </c>
      <c r="D510" s="19" t="inlineStr">
        <is>
          <t>Amort.</t>
        </is>
      </c>
      <c r="E510" s="19" t="inlineStr">
        <is>
          <t>Flujo</t>
        </is>
      </c>
      <c r="F510" s="19" t="inlineStr">
        <is>
          <t>VA</t>
        </is>
      </c>
      <c r="G510" s="19" t="inlineStr">
        <is>
          <t>t · VA</t>
        </is>
      </c>
      <c r="H510" s="19" t="inlineStr">
        <is>
          <t>Convexidad</t>
        </is>
      </c>
      <c r="I510" s="19" t="inlineStr">
        <is>
          <t>t · Flujo</t>
        </is>
      </c>
    </row>
    <row r="511">
      <c r="A511" t="n">
        <v>0</v>
      </c>
      <c r="B511" t="n">
        <v>0</v>
      </c>
      <c r="E511" t="n">
        <v>-99.3</v>
      </c>
    </row>
    <row r="512">
      <c r="A512" t="n">
        <v>1</v>
      </c>
      <c r="B512" s="20">
        <f>A512/4</f>
        <v/>
      </c>
      <c r="C512" s="20" t="n">
        <v>1.75</v>
      </c>
      <c r="D512" s="20" t="n">
        <v>0</v>
      </c>
      <c r="E512" s="20">
        <f>C512+D512</f>
        <v/>
      </c>
      <c r="F512" s="20">
        <f>E512/(1+$B$525)^B512</f>
        <v/>
      </c>
      <c r="G512" s="20">
        <f>B512*F512</f>
        <v/>
      </c>
      <c r="H512" s="20">
        <f>E512*B512*(B512+1)/(1+$B$525)^(B512+2)</f>
        <v/>
      </c>
      <c r="I512" s="20">
        <f>B512*E512</f>
        <v/>
      </c>
    </row>
    <row r="513">
      <c r="A513" t="n">
        <v>2</v>
      </c>
      <c r="B513" s="20">
        <f>A513/4</f>
        <v/>
      </c>
      <c r="C513" s="20" t="n">
        <v>1.75</v>
      </c>
      <c r="D513" s="20" t="n">
        <v>0</v>
      </c>
      <c r="E513" s="20">
        <f>C513+D513</f>
        <v/>
      </c>
      <c r="F513" s="20">
        <f>E513/(1+$B$525)^B513</f>
        <v/>
      </c>
      <c r="G513" s="20">
        <f>B513*F513</f>
        <v/>
      </c>
      <c r="H513" s="20">
        <f>E513*B513*(B513+1)/(1+$B$525)^(B513+2)</f>
        <v/>
      </c>
      <c r="I513" s="20">
        <f>B513*E513</f>
        <v/>
      </c>
    </row>
    <row r="514">
      <c r="A514" t="n">
        <v>3</v>
      </c>
      <c r="B514" s="20">
        <f>A514/4</f>
        <v/>
      </c>
      <c r="C514" s="20" t="n">
        <v>1.75</v>
      </c>
      <c r="D514" s="20" t="n">
        <v>0</v>
      </c>
      <c r="E514" s="20">
        <f>C514+D514</f>
        <v/>
      </c>
      <c r="F514" s="20">
        <f>E514/(1+$B$525)^B514</f>
        <v/>
      </c>
      <c r="G514" s="20">
        <f>B514*F514</f>
        <v/>
      </c>
      <c r="H514" s="20">
        <f>E514*B514*(B514+1)/(1+$B$525)^(B514+2)</f>
        <v/>
      </c>
      <c r="I514" s="20">
        <f>B514*E514</f>
        <v/>
      </c>
    </row>
    <row r="515">
      <c r="A515" t="n">
        <v>4</v>
      </c>
      <c r="B515" s="20">
        <f>A515/4</f>
        <v/>
      </c>
      <c r="C515" s="20" t="n">
        <v>1.75</v>
      </c>
      <c r="D515" s="20" t="n">
        <v>0</v>
      </c>
      <c r="E515" s="20">
        <f>C515+D515</f>
        <v/>
      </c>
      <c r="F515" s="20">
        <f>E515/(1+$B$525)^B515</f>
        <v/>
      </c>
      <c r="G515" s="20">
        <f>B515*F515</f>
        <v/>
      </c>
      <c r="H515" s="20">
        <f>E515*B515*(B515+1)/(1+$B$525)^(B515+2)</f>
        <v/>
      </c>
      <c r="I515" s="20">
        <f>B515*E515</f>
        <v/>
      </c>
    </row>
    <row r="516">
      <c r="A516" t="n">
        <v>5</v>
      </c>
      <c r="B516" s="20">
        <f>A516/4</f>
        <v/>
      </c>
      <c r="C516" s="20" t="n">
        <v>1.75</v>
      </c>
      <c r="D516" s="20" t="n">
        <v>0</v>
      </c>
      <c r="E516" s="20">
        <f>C516+D516</f>
        <v/>
      </c>
      <c r="F516" s="20">
        <f>E516/(1+$B$525)^B516</f>
        <v/>
      </c>
      <c r="G516" s="20">
        <f>B516*F516</f>
        <v/>
      </c>
      <c r="H516" s="20">
        <f>E516*B516*(B516+1)/(1+$B$525)^(B516+2)</f>
        <v/>
      </c>
      <c r="I516" s="20">
        <f>B516*E516</f>
        <v/>
      </c>
    </row>
    <row r="517">
      <c r="A517" t="n">
        <v>6</v>
      </c>
      <c r="B517" s="20">
        <f>A517/4</f>
        <v/>
      </c>
      <c r="C517" s="20" t="n">
        <v>1.75</v>
      </c>
      <c r="D517" s="20" t="n">
        <v>0</v>
      </c>
      <c r="E517" s="20">
        <f>C517+D517</f>
        <v/>
      </c>
      <c r="F517" s="20">
        <f>E517/(1+$B$525)^B517</f>
        <v/>
      </c>
      <c r="G517" s="20">
        <f>B517*F517</f>
        <v/>
      </c>
      <c r="H517" s="20">
        <f>E517*B517*(B517+1)/(1+$B$525)^(B517+2)</f>
        <v/>
      </c>
      <c r="I517" s="20">
        <f>B517*E517</f>
        <v/>
      </c>
    </row>
    <row r="518">
      <c r="A518" t="n">
        <v>7</v>
      </c>
      <c r="B518" s="20">
        <f>A518/4</f>
        <v/>
      </c>
      <c r="C518" s="20" t="n">
        <v>1.75</v>
      </c>
      <c r="D518" s="20" t="n">
        <v>0</v>
      </c>
      <c r="E518" s="20">
        <f>C518+D518</f>
        <v/>
      </c>
      <c r="F518" s="20">
        <f>E518/(1+$B$525)^B518</f>
        <v/>
      </c>
      <c r="G518" s="20">
        <f>B518*F518</f>
        <v/>
      </c>
      <c r="H518" s="20">
        <f>E518*B518*(B518+1)/(1+$B$525)^(B518+2)</f>
        <v/>
      </c>
      <c r="I518" s="20">
        <f>B518*E518</f>
        <v/>
      </c>
    </row>
    <row r="519">
      <c r="A519" t="n">
        <v>8</v>
      </c>
      <c r="B519" s="20">
        <f>A519/4</f>
        <v/>
      </c>
      <c r="C519" s="20" t="n">
        <v>1.75</v>
      </c>
      <c r="D519" s="20" t="n">
        <v>50</v>
      </c>
      <c r="E519" s="20">
        <f>C519+D519</f>
        <v/>
      </c>
      <c r="F519" s="20">
        <f>E519/(1+$B$525)^B519</f>
        <v/>
      </c>
      <c r="G519" s="20">
        <f>B519*F519</f>
        <v/>
      </c>
      <c r="H519" s="20">
        <f>E519*B519*(B519+1)/(1+$B$525)^(B519+2)</f>
        <v/>
      </c>
      <c r="I519" s="20">
        <f>B519*E519</f>
        <v/>
      </c>
    </row>
    <row r="520">
      <c r="A520" t="n">
        <v>9</v>
      </c>
      <c r="B520" s="20">
        <f>A520/4</f>
        <v/>
      </c>
      <c r="C520" s="20" t="n">
        <v>0.875</v>
      </c>
      <c r="D520" s="20" t="n">
        <v>0</v>
      </c>
      <c r="E520" s="20">
        <f>C520+D520</f>
        <v/>
      </c>
      <c r="F520" s="20">
        <f>E520/(1+$B$525)^B520</f>
        <v/>
      </c>
      <c r="G520" s="20">
        <f>B520*F520</f>
        <v/>
      </c>
      <c r="H520" s="20">
        <f>E520*B520*(B520+1)/(1+$B$525)^(B520+2)</f>
        <v/>
      </c>
      <c r="I520" s="20">
        <f>B520*E520</f>
        <v/>
      </c>
    </row>
    <row r="521">
      <c r="A521" t="n">
        <v>10</v>
      </c>
      <c r="B521" s="20">
        <f>A521/4</f>
        <v/>
      </c>
      <c r="C521" s="20" t="n">
        <v>0.875</v>
      </c>
      <c r="D521" s="20" t="n">
        <v>0</v>
      </c>
      <c r="E521" s="20">
        <f>C521+D521</f>
        <v/>
      </c>
      <c r="F521" s="20">
        <f>E521/(1+$B$525)^B521</f>
        <v/>
      </c>
      <c r="G521" s="20">
        <f>B521*F521</f>
        <v/>
      </c>
      <c r="H521" s="20">
        <f>E521*B521*(B521+1)/(1+$B$525)^(B521+2)</f>
        <v/>
      </c>
      <c r="I521" s="20">
        <f>B521*E521</f>
        <v/>
      </c>
    </row>
    <row r="522">
      <c r="A522" t="n">
        <v>11</v>
      </c>
      <c r="B522" s="20">
        <f>A522/4</f>
        <v/>
      </c>
      <c r="C522" s="20" t="n">
        <v>0.875</v>
      </c>
      <c r="D522" s="20" t="n">
        <v>0</v>
      </c>
      <c r="E522" s="20">
        <f>C522+D522</f>
        <v/>
      </c>
      <c r="F522" s="20">
        <f>E522/(1+$B$525)^B522</f>
        <v/>
      </c>
      <c r="G522" s="20">
        <f>B522*F522</f>
        <v/>
      </c>
      <c r="H522" s="20">
        <f>E522*B522*(B522+1)/(1+$B$525)^(B522+2)</f>
        <v/>
      </c>
      <c r="I522" s="20">
        <f>B522*E522</f>
        <v/>
      </c>
    </row>
    <row r="523">
      <c r="A523" t="n">
        <v>12</v>
      </c>
      <c r="B523" s="20">
        <f>A523/4</f>
        <v/>
      </c>
      <c r="C523" s="20" t="n">
        <v>0.875</v>
      </c>
      <c r="D523" s="20" t="n">
        <v>50</v>
      </c>
      <c r="E523" s="20">
        <f>C523+D523</f>
        <v/>
      </c>
      <c r="F523" s="20">
        <f>E523/(1+$B$525)^B523</f>
        <v/>
      </c>
      <c r="G523" s="20">
        <f>B523*F523</f>
        <v/>
      </c>
      <c r="H523" s="20">
        <f>E523*B523*(B523+1)/(1+$B$525)^(B523+2)</f>
        <v/>
      </c>
      <c r="I523" s="20">
        <f>B523*E523</f>
        <v/>
      </c>
    </row>
    <row r="525">
      <c r="A525" s="5" t="inlineStr">
        <is>
          <t>TIR efectiva anual</t>
        </is>
      </c>
      <c r="B525" s="21">
        <f>(1+IRR(E511:E523))^4-1</f>
        <v/>
      </c>
    </row>
    <row r="526">
      <c r="A526" t="inlineStr">
        <is>
          <t>Precio</t>
        </is>
      </c>
      <c r="B526" s="20">
        <f>SUM(F512:F523)</f>
        <v/>
      </c>
    </row>
    <row r="527">
      <c r="A527" t="inlineStr">
        <is>
          <t>Duration</t>
        </is>
      </c>
      <c r="B527" s="20">
        <f>SUM(G512:G523)/B526</f>
        <v/>
      </c>
    </row>
    <row r="528">
      <c r="A528" t="inlineStr">
        <is>
          <t>DM = D/(1+TIR)</t>
        </is>
      </c>
      <c r="B528" s="20">
        <f>B527/(1+$B$525)</f>
        <v/>
      </c>
    </row>
    <row r="529">
      <c r="A529" t="inlineStr">
        <is>
          <t>Convexidad</t>
        </is>
      </c>
      <c r="B529" s="20">
        <f>SUM(H512:H523)/B526</f>
        <v/>
      </c>
    </row>
    <row r="530">
      <c r="A530" t="inlineStr">
        <is>
          <t>PPV</t>
        </is>
      </c>
      <c r="B530" s="20">
        <f>SUM(I512:I523)/SUM(E512:E523)</f>
        <v/>
      </c>
    </row>
    <row r="533">
      <c r="A533" s="3" t="inlineStr">
        <is>
          <t>Ejercicio 89</t>
        </is>
      </c>
      <c r="B533" s="3" t="inlineStr">
        <is>
          <t>Completo · Paridad de un amortizable</t>
        </is>
      </c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>
      <c r="A534" s="5" t="inlineStr">
        <is>
          <t>Respuesta</t>
        </is>
      </c>
      <c r="C534" s="18">
        <f>58.3/(60+60*0.09*90/365)</f>
        <v/>
      </c>
      <c r="D534" s="2" t="inlineStr">
        <is>
          <t>95,06 %</t>
        </is>
      </c>
    </row>
    <row r="535">
      <c r="A535" t="inlineStr">
        <is>
          <t>En Excel</t>
        </is>
      </c>
      <c r="C535" t="inlineStr">
        <is>
          <t>=58,3/(60+60*9%*90/365)</t>
        </is>
      </c>
    </row>
    <row r="536" ht="30" customHeight="1">
      <c r="A536" t="inlineStr">
        <is>
          <t>Explicación</t>
        </is>
      </c>
      <c r="C536" s="8" t="inlineStr">
        <is>
          <t>Valor residual = 100 − 40 = 60. Intereses corridos = 60 × 9% × 90/365 = 1,3315. Valor técnico = 61,3315. Paridad = precio / VT.</t>
        </is>
      </c>
    </row>
    <row r="539">
      <c r="A539" s="3" t="inlineStr">
        <is>
          <t>Ejercicio 90</t>
        </is>
      </c>
      <c r="B539" s="3" t="inlineStr">
        <is>
          <t>Completo · Monto con comisiones</t>
        </is>
      </c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>
      <c r="A540" s="5" t="inlineStr">
        <is>
          <t>Respuesta</t>
        </is>
      </c>
      <c r="C540" s="22">
        <f>84.75/100*15000*(1+0.005+0.0001)</f>
        <v/>
      </c>
      <c r="D540" s="2" t="inlineStr">
        <is>
          <t>$ 12.777,33</t>
        </is>
      </c>
    </row>
    <row r="541">
      <c r="A541" t="inlineStr">
        <is>
          <t>En Excel</t>
        </is>
      </c>
      <c r="C541" t="inlineStr">
        <is>
          <t>=84,75/100*15000*(1+0,5%+0,01%)</t>
        </is>
      </c>
    </row>
    <row r="542" ht="30" customHeight="1">
      <c r="A542" t="inlineStr">
        <is>
          <t>Explicación</t>
        </is>
      </c>
      <c r="C542" s="8" t="inlineStr">
        <is>
          <t>Monto bruto = 84,75/100 × 15.000 = 12.712,50. Se le suman la comisión y los derechos de mercado.</t>
        </is>
      </c>
    </row>
    <row r="545">
      <c r="A545" s="3" t="inlineStr">
        <is>
          <t>Ejercicio 91</t>
        </is>
      </c>
      <c r="B545" s="3" t="inlineStr">
        <is>
          <t>Completo · Duration de cartera</t>
        </is>
      </c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>
      <c r="A546" s="5" t="inlineStr">
        <is>
          <t>Respuesta</t>
        </is>
      </c>
      <c r="C546" s="22">
        <f>SUMPRODUCT(C557:E557,C558:E558)</f>
        <v/>
      </c>
      <c r="D546" s="2" t="inlineStr">
        <is>
          <t>3,198</t>
        </is>
      </c>
    </row>
    <row r="547">
      <c r="A547" t="inlineStr">
        <is>
          <t>En Excel</t>
        </is>
      </c>
      <c r="C547" t="inlineStr">
        <is>
          <t>Duration de cada bono con SUMAPRODUCTO y después =30%*DA+30%*DB+40%*DC</t>
        </is>
      </c>
    </row>
    <row r="548" ht="30" customHeight="1">
      <c r="A548" t="inlineStr">
        <is>
          <t>Explicación</t>
        </is>
      </c>
      <c r="C548" s="8" t="inlineStr">
        <is>
          <t>Duration del cupón cero = 2 (su plazo). Bullet a 3 años: 2,7774. Bullet a 5 años: 4,4129. La de la cartera es el promedio ponderado por el peso de cada bono.</t>
        </is>
      </c>
    </row>
    <row r="550">
      <c r="A550" s="5" t="inlineStr">
        <is>
          <t>Año</t>
        </is>
      </c>
      <c r="B550" s="5" t="inlineStr">
        <is>
          <t>t</t>
        </is>
      </c>
      <c r="C550" s="5" t="inlineStr">
        <is>
          <t>Cupón cero</t>
        </is>
      </c>
      <c r="D550" s="5" t="inlineStr">
        <is>
          <t>Bullet 3 años</t>
        </is>
      </c>
      <c r="E550" s="5" t="inlineStr">
        <is>
          <t>Bullet 5 años</t>
        </is>
      </c>
    </row>
    <row r="551">
      <c r="A551" t="n">
        <v>1</v>
      </c>
      <c r="B551">
        <f>A551</f>
        <v/>
      </c>
      <c r="C551" t="n">
        <v>0</v>
      </c>
      <c r="D551" t="n">
        <v>8</v>
      </c>
      <c r="E551" t="n">
        <v>6</v>
      </c>
    </row>
    <row r="552">
      <c r="A552" t="n">
        <v>2</v>
      </c>
      <c r="B552">
        <f>A552</f>
        <v/>
      </c>
      <c r="C552" t="n">
        <v>100</v>
      </c>
      <c r="D552" t="n">
        <v>8</v>
      </c>
      <c r="E552" t="n">
        <v>6</v>
      </c>
    </row>
    <row r="553">
      <c r="A553" t="n">
        <v>3</v>
      </c>
      <c r="B553">
        <f>A553</f>
        <v/>
      </c>
      <c r="C553" t="n">
        <v>0</v>
      </c>
      <c r="D553" t="n">
        <v>108</v>
      </c>
      <c r="E553" t="n">
        <v>6</v>
      </c>
    </row>
    <row r="554">
      <c r="A554" t="n">
        <v>4</v>
      </c>
      <c r="B554">
        <f>A554</f>
        <v/>
      </c>
      <c r="C554" t="n">
        <v>0</v>
      </c>
      <c r="D554" t="n">
        <v>0</v>
      </c>
      <c r="E554" t="n">
        <v>6</v>
      </c>
    </row>
    <row r="555">
      <c r="A555" t="n">
        <v>5</v>
      </c>
      <c r="B555">
        <f>A555</f>
        <v/>
      </c>
      <c r="C555" t="n">
        <v>0</v>
      </c>
      <c r="D555" t="n">
        <v>0</v>
      </c>
      <c r="E555" t="n">
        <v>106</v>
      </c>
    </row>
    <row r="556">
      <c r="A556" t="inlineStr">
        <is>
          <t>TIR</t>
        </is>
      </c>
      <c r="B556" t="n">
        <v>0.1</v>
      </c>
    </row>
    <row r="557">
      <c r="A557" t="inlineStr">
        <is>
          <t>Duration</t>
        </is>
      </c>
      <c r="C557">
        <f>SUMPRODUCT($B551:$B555,C551:C555/(1+$B556)^$B551:$B555)/SUMPRODUCT(C551:C555/(1+$B556)^$B551:$B555)</f>
        <v/>
      </c>
      <c r="D557">
        <f>SUMPRODUCT($B551:$B555,D551:D555/(1+$B556)^$B551:$B555)/SUMPRODUCT(D551:D555/(1+$B556)^$B551:$B555)</f>
        <v/>
      </c>
      <c r="E557">
        <f>SUMPRODUCT($B551:$B555,E551:E555/(1+$B556)^$B551:$B555)/SUMPRODUCT(E551:E555/(1+$B556)^$B551:$B555)</f>
        <v/>
      </c>
    </row>
    <row r="558">
      <c r="A558" t="inlineStr">
        <is>
          <t>Peso</t>
        </is>
      </c>
      <c r="C558" t="n">
        <v>0.3</v>
      </c>
      <c r="D558" t="n">
        <v>0.3</v>
      </c>
      <c r="E558" t="n">
        <v>0.4</v>
      </c>
    </row>
    <row r="561">
      <c r="A561" s="3" t="inlineStr">
        <is>
          <t>Ejercicio 92</t>
        </is>
      </c>
      <c r="B561" s="3" t="inlineStr">
        <is>
          <t>Completo · Step-up · TIR</t>
        </is>
      </c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>
      <c r="A562" s="5" t="inlineStr">
        <is>
          <t>Respuesta</t>
        </is>
      </c>
      <c r="C562" s="18">
        <f>$B$573</f>
        <v/>
      </c>
      <c r="D562" s="2" t="inlineStr">
        <is>
          <t>6,32 %</t>
        </is>
      </c>
    </row>
    <row r="563">
      <c r="A563" t="inlineStr">
        <is>
          <t>En Excel</t>
        </is>
      </c>
      <c r="C563" t="inlineStr">
        <is>
          <t>=TIR(flujos) (pagos anuales: ya es efectiva anual)</t>
        </is>
      </c>
    </row>
    <row r="564" ht="30" customHeight="1">
      <c r="A564" t="inlineStr">
        <is>
          <t>Explicación</t>
        </is>
      </c>
      <c r="C564" s="8" t="inlineStr">
        <is>
          <t>TIR efectiva anual = 6,315 %. Precio = 90,000 · Duration = 3,8517 años · DM = 3,6229 · Convexidad = 16,791 · PPV = 3,8684.</t>
        </is>
      </c>
    </row>
    <row r="566">
      <c r="A566" s="19" t="inlineStr">
        <is>
          <t>Período</t>
        </is>
      </c>
      <c r="B566" s="19" t="inlineStr">
        <is>
          <t>t (años)</t>
        </is>
      </c>
      <c r="C566" s="19" t="inlineStr">
        <is>
          <t>Renta</t>
        </is>
      </c>
      <c r="D566" s="19" t="inlineStr">
        <is>
          <t>Amort.</t>
        </is>
      </c>
      <c r="E566" s="19" t="inlineStr">
        <is>
          <t>Flujo</t>
        </is>
      </c>
      <c r="F566" s="19" t="inlineStr">
        <is>
          <t>VA</t>
        </is>
      </c>
      <c r="G566" s="19" t="inlineStr">
        <is>
          <t>t · VA</t>
        </is>
      </c>
      <c r="H566" s="19" t="inlineStr">
        <is>
          <t>Convexidad</t>
        </is>
      </c>
      <c r="I566" s="19" t="inlineStr">
        <is>
          <t>t · Flujo</t>
        </is>
      </c>
    </row>
    <row r="567">
      <c r="A567" t="n">
        <v>0</v>
      </c>
      <c r="B567" t="n">
        <v>0</v>
      </c>
      <c r="E567" t="n">
        <v>-90</v>
      </c>
    </row>
    <row r="568">
      <c r="A568" t="n">
        <v>1</v>
      </c>
      <c r="B568" s="20">
        <f>A568/1</f>
        <v/>
      </c>
      <c r="C568" s="20" t="n">
        <v>2</v>
      </c>
      <c r="D568" s="20" t="n">
        <v>0</v>
      </c>
      <c r="E568" s="20">
        <f>C568+D568</f>
        <v/>
      </c>
      <c r="F568" s="20">
        <f>E568/(1+$B$573)^B568</f>
        <v/>
      </c>
      <c r="G568" s="20">
        <f>B568*F568</f>
        <v/>
      </c>
      <c r="H568" s="20">
        <f>E568*B568*(B568+1)/(1+$B$573)^(B568+2)</f>
        <v/>
      </c>
      <c r="I568" s="20">
        <f>B568*E568</f>
        <v/>
      </c>
    </row>
    <row r="569">
      <c r="A569" t="n">
        <v>2</v>
      </c>
      <c r="B569" s="20">
        <f>A569/1</f>
        <v/>
      </c>
      <c r="C569" s="20" t="n">
        <v>2</v>
      </c>
      <c r="D569" s="20" t="n">
        <v>0</v>
      </c>
      <c r="E569" s="20">
        <f>C569+D569</f>
        <v/>
      </c>
      <c r="F569" s="20">
        <f>E569/(1+$B$573)^B569</f>
        <v/>
      </c>
      <c r="G569" s="20">
        <f>B569*F569</f>
        <v/>
      </c>
      <c r="H569" s="20">
        <f>E569*B569*(B569+1)/(1+$B$573)^(B569+2)</f>
        <v/>
      </c>
      <c r="I569" s="20">
        <f>B569*E569</f>
        <v/>
      </c>
    </row>
    <row r="570">
      <c r="A570" t="n">
        <v>3</v>
      </c>
      <c r="B570" s="20">
        <f>A570/1</f>
        <v/>
      </c>
      <c r="C570" s="20" t="n">
        <v>5</v>
      </c>
      <c r="D570" s="20" t="n">
        <v>0</v>
      </c>
      <c r="E570" s="20">
        <f>C570+D570</f>
        <v/>
      </c>
      <c r="F570" s="20">
        <f>E570/(1+$B$573)^B570</f>
        <v/>
      </c>
      <c r="G570" s="20">
        <f>B570*F570</f>
        <v/>
      </c>
      <c r="H570" s="20">
        <f>E570*B570*(B570+1)/(1+$B$573)^(B570+2)</f>
        <v/>
      </c>
      <c r="I570" s="20">
        <f>B570*E570</f>
        <v/>
      </c>
    </row>
    <row r="571">
      <c r="A571" t="n">
        <v>4</v>
      </c>
      <c r="B571" s="20">
        <f>A571/1</f>
        <v/>
      </c>
      <c r="C571" s="20" t="n">
        <v>5</v>
      </c>
      <c r="D571" s="20" t="n">
        <v>100</v>
      </c>
      <c r="E571" s="20">
        <f>C571+D571</f>
        <v/>
      </c>
      <c r="F571" s="20">
        <f>E571/(1+$B$573)^B571</f>
        <v/>
      </c>
      <c r="G571" s="20">
        <f>B571*F571</f>
        <v/>
      </c>
      <c r="H571" s="20">
        <f>E571*B571*(B571+1)/(1+$B$573)^(B571+2)</f>
        <v/>
      </c>
      <c r="I571" s="20">
        <f>B571*E571</f>
        <v/>
      </c>
    </row>
    <row r="573">
      <c r="A573" s="5" t="inlineStr">
        <is>
          <t>TIR efectiva anual</t>
        </is>
      </c>
      <c r="B573" s="21">
        <f>(1+IRR(E567:E571))^1-1</f>
        <v/>
      </c>
    </row>
    <row r="574">
      <c r="A574" t="inlineStr">
        <is>
          <t>Precio</t>
        </is>
      </c>
      <c r="B574" s="20">
        <f>SUM(F568:F571)</f>
        <v/>
      </c>
    </row>
    <row r="575">
      <c r="A575" t="inlineStr">
        <is>
          <t>Duration</t>
        </is>
      </c>
      <c r="B575" s="20">
        <f>SUM(G568:G571)/B574</f>
        <v/>
      </c>
    </row>
    <row r="576">
      <c r="A576" t="inlineStr">
        <is>
          <t>DM = D/(1+TIR)</t>
        </is>
      </c>
      <c r="B576" s="20">
        <f>B575/(1+$B$573)</f>
        <v/>
      </c>
    </row>
    <row r="577">
      <c r="A577" t="inlineStr">
        <is>
          <t>Convexidad</t>
        </is>
      </c>
      <c r="B577" s="20">
        <f>SUM(H568:H571)/B574</f>
        <v/>
      </c>
    </row>
    <row r="578">
      <c r="A578" t="inlineStr">
        <is>
          <t>PPV</t>
        </is>
      </c>
      <c r="B578" s="20">
        <f>SUM(I568:I571)/SUM(E568:E571)</f>
        <v/>
      </c>
    </row>
    <row r="581">
      <c r="A581" s="3" t="inlineStr">
        <is>
          <t>Ejercicio 93</t>
        </is>
      </c>
      <c r="B581" s="3" t="inlineStr">
        <is>
          <t>Completo · DM de un amortizable</t>
        </is>
      </c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>
      <c r="A582" s="5" t="inlineStr">
        <is>
          <t>Respuesta</t>
        </is>
      </c>
      <c r="C582" s="22">
        <f>B597</f>
        <v/>
      </c>
      <c r="D582" s="2" t="inlineStr">
        <is>
          <t>3,353</t>
        </is>
      </c>
    </row>
    <row r="583">
      <c r="A583" t="inlineStr">
        <is>
          <t>En Excel</t>
        </is>
      </c>
      <c r="C583" t="inlineStr">
        <is>
          <t>VA de cada flujo = flujo/(1+TIR)^t; con eso, SUMAPRODUCTO para precio, duration o convexidad</t>
        </is>
      </c>
    </row>
    <row r="584" ht="30" customHeight="1">
      <c r="A584" t="inlineStr">
        <is>
          <t>Explicación</t>
        </is>
      </c>
      <c r="C584" s="8" t="inlineStr">
        <is>
          <t>TIR efectiva anual usada = 8,000 %. Precio = 93,430 · Duration = 3,6218 años · DM = 3,3535 · Convexidad = 15,615 · PPV = 3,7339.</t>
        </is>
      </c>
    </row>
    <row r="586">
      <c r="A586" s="19" t="inlineStr">
        <is>
          <t>Período</t>
        </is>
      </c>
      <c r="B586" s="19" t="inlineStr">
        <is>
          <t>t (años)</t>
        </is>
      </c>
      <c r="C586" s="19" t="inlineStr">
        <is>
          <t>Renta</t>
        </is>
      </c>
      <c r="D586" s="19" t="inlineStr">
        <is>
          <t>Amort.</t>
        </is>
      </c>
      <c r="E586" s="19" t="inlineStr">
        <is>
          <t>Flujo</t>
        </is>
      </c>
      <c r="F586" s="19" t="inlineStr">
        <is>
          <t>VA</t>
        </is>
      </c>
      <c r="G586" s="19" t="inlineStr">
        <is>
          <t>t · VA</t>
        </is>
      </c>
      <c r="H586" s="19" t="inlineStr">
        <is>
          <t>Convexidad</t>
        </is>
      </c>
      <c r="I586" s="19" t="inlineStr">
        <is>
          <t>t · Flujo</t>
        </is>
      </c>
    </row>
    <row r="587">
      <c r="A587" t="n">
        <v>0</v>
      </c>
      <c r="B587" t="n">
        <v>0</v>
      </c>
      <c r="E587" t="n">
        <v>0</v>
      </c>
    </row>
    <row r="588">
      <c r="A588" t="n">
        <v>1</v>
      </c>
      <c r="B588" s="20">
        <f>A588/1</f>
        <v/>
      </c>
      <c r="C588" s="20" t="n">
        <v>6</v>
      </c>
      <c r="D588" s="20" t="n">
        <v>0</v>
      </c>
      <c r="E588" s="20">
        <f>C588+D588</f>
        <v/>
      </c>
      <c r="F588" s="20">
        <f>E588/(1+$B$594)^B588</f>
        <v/>
      </c>
      <c r="G588" s="20">
        <f>B588*F588</f>
        <v/>
      </c>
      <c r="H588" s="20">
        <f>E588*B588*(B588+1)/(1+$B$594)^(B588+2)</f>
        <v/>
      </c>
      <c r="I588" s="20">
        <f>B588*E588</f>
        <v/>
      </c>
    </row>
    <row r="589">
      <c r="A589" t="n">
        <v>2</v>
      </c>
      <c r="B589" s="20">
        <f>A589/1</f>
        <v/>
      </c>
      <c r="C589" s="20" t="n">
        <v>6</v>
      </c>
      <c r="D589" s="20" t="n">
        <v>0</v>
      </c>
      <c r="E589" s="20">
        <f>C589+D589</f>
        <v/>
      </c>
      <c r="F589" s="20">
        <f>E589/(1+$B$594)^B589</f>
        <v/>
      </c>
      <c r="G589" s="20">
        <f>B589*F589</f>
        <v/>
      </c>
      <c r="H589" s="20">
        <f>E589*B589*(B589+1)/(1+$B$594)^(B589+2)</f>
        <v/>
      </c>
      <c r="I589" s="20">
        <f>B589*E589</f>
        <v/>
      </c>
    </row>
    <row r="590">
      <c r="A590" t="n">
        <v>3</v>
      </c>
      <c r="B590" s="20">
        <f>A590/1</f>
        <v/>
      </c>
      <c r="C590" s="20" t="n">
        <v>6</v>
      </c>
      <c r="D590" s="20" t="n">
        <v>50</v>
      </c>
      <c r="E590" s="20">
        <f>C590+D590</f>
        <v/>
      </c>
      <c r="F590" s="20">
        <f>E590/(1+$B$594)^B590</f>
        <v/>
      </c>
      <c r="G590" s="20">
        <f>B590*F590</f>
        <v/>
      </c>
      <c r="H590" s="20">
        <f>E590*B590*(B590+1)/(1+$B$594)^(B590+2)</f>
        <v/>
      </c>
      <c r="I590" s="20">
        <f>B590*E590</f>
        <v/>
      </c>
    </row>
    <row r="591">
      <c r="A591" t="n">
        <v>4</v>
      </c>
      <c r="B591" s="20">
        <f>A591/1</f>
        <v/>
      </c>
      <c r="C591" s="20" t="n">
        <v>3</v>
      </c>
      <c r="D591" s="20" t="n">
        <v>0</v>
      </c>
      <c r="E591" s="20">
        <f>C591+D591</f>
        <v/>
      </c>
      <c r="F591" s="20">
        <f>E591/(1+$B$594)^B591</f>
        <v/>
      </c>
      <c r="G591" s="20">
        <f>B591*F591</f>
        <v/>
      </c>
      <c r="H591" s="20">
        <f>E591*B591*(B591+1)/(1+$B$594)^(B591+2)</f>
        <v/>
      </c>
      <c r="I591" s="20">
        <f>B591*E591</f>
        <v/>
      </c>
    </row>
    <row r="592">
      <c r="A592" t="n">
        <v>5</v>
      </c>
      <c r="B592" s="20">
        <f>A592/1</f>
        <v/>
      </c>
      <c r="C592" s="20" t="n">
        <v>3</v>
      </c>
      <c r="D592" s="20" t="n">
        <v>50</v>
      </c>
      <c r="E592" s="20">
        <f>C592+D592</f>
        <v/>
      </c>
      <c r="F592" s="20">
        <f>E592/(1+$B$594)^B592</f>
        <v/>
      </c>
      <c r="G592" s="20">
        <f>B592*F592</f>
        <v/>
      </c>
      <c r="H592" s="20">
        <f>E592*B592*(B592+1)/(1+$B$594)^(B592+2)</f>
        <v/>
      </c>
      <c r="I592" s="20">
        <f>B592*E592</f>
        <v/>
      </c>
    </row>
    <row r="594">
      <c r="A594" s="5" t="inlineStr">
        <is>
          <t>TIR efectiva anual</t>
        </is>
      </c>
      <c r="B594" s="21" t="n">
        <v>0.08</v>
      </c>
    </row>
    <row r="595">
      <c r="A595" t="inlineStr">
        <is>
          <t>Precio</t>
        </is>
      </c>
      <c r="B595" s="20">
        <f>SUM(F588:F592)</f>
        <v/>
      </c>
    </row>
    <row r="596">
      <c r="A596" t="inlineStr">
        <is>
          <t>Duration</t>
        </is>
      </c>
      <c r="B596" s="20">
        <f>SUM(G588:G592)/B595</f>
        <v/>
      </c>
    </row>
    <row r="597">
      <c r="A597" t="inlineStr">
        <is>
          <t>DM = D/(1+TIR)</t>
        </is>
      </c>
      <c r="B597" s="20">
        <f>B596/(1+$B$594)</f>
        <v/>
      </c>
    </row>
    <row r="598">
      <c r="A598" t="inlineStr">
        <is>
          <t>Convexidad</t>
        </is>
      </c>
      <c r="B598" s="20">
        <f>SUM(H588:H592)/B595</f>
        <v/>
      </c>
    </row>
    <row r="599">
      <c r="A599" t="inlineStr">
        <is>
          <t>PPV</t>
        </is>
      </c>
      <c r="B599" s="20">
        <f>SUM(I588:I592)/SUM(E588:E592)</f>
        <v/>
      </c>
    </row>
    <row r="602">
      <c r="A602" s="3" t="inlineStr">
        <is>
          <t>Ejercicio 94</t>
        </is>
      </c>
      <c r="B602" s="3" t="inlineStr">
        <is>
          <t>Completo · Amortizable · precio para una TIR</t>
        </is>
      </c>
      <c r="C602" s="7" t="n"/>
      <c r="D602" s="7" t="n"/>
      <c r="E602" s="7" t="n"/>
      <c r="F602" s="7" t="n"/>
      <c r="G602" s="7" t="n"/>
      <c r="H602" s="7" t="n"/>
      <c r="I602" s="7" t="n"/>
      <c r="J602" s="7" t="n"/>
    </row>
    <row r="603">
      <c r="A603" s="5" t="inlineStr">
        <is>
          <t>Respuesta</t>
        </is>
      </c>
      <c r="C603" s="22">
        <f>B621</f>
        <v/>
      </c>
      <c r="D603" s="2" t="inlineStr">
        <is>
          <t>91,50</t>
        </is>
      </c>
    </row>
    <row r="604">
      <c r="A604" t="inlineStr">
        <is>
          <t>En Excel</t>
        </is>
      </c>
      <c r="C604" t="inlineStr">
        <is>
          <t>VA de cada flujo = flujo/(1+TIR)^t; con eso, SUMAPRODUCTO para precio, duration o convexidad</t>
        </is>
      </c>
    </row>
    <row r="605" ht="30" customHeight="1">
      <c r="A605" t="inlineStr">
        <is>
          <t>Explicación</t>
        </is>
      </c>
      <c r="C605" s="8" t="inlineStr">
        <is>
          <t>TIR efectiva anual usada = 14,490 % (equivale a 14,00 % nominal anual cap. semestral). Precio = 91,496 · Duration = 2,3183 años · DM = 2,0249 · Convexidad = 7,349 · PPV = 2,5882.</t>
        </is>
      </c>
    </row>
    <row r="607">
      <c r="A607" s="19" t="inlineStr">
        <is>
          <t>Período</t>
        </is>
      </c>
      <c r="B607" s="19" t="inlineStr">
        <is>
          <t>t (años)</t>
        </is>
      </c>
      <c r="C607" s="19" t="inlineStr">
        <is>
          <t>Renta</t>
        </is>
      </c>
      <c r="D607" s="19" t="inlineStr">
        <is>
          <t>Amort.</t>
        </is>
      </c>
      <c r="E607" s="19" t="inlineStr">
        <is>
          <t>Flujo</t>
        </is>
      </c>
      <c r="F607" s="19" t="inlineStr">
        <is>
          <t>VA</t>
        </is>
      </c>
      <c r="G607" s="19" t="inlineStr">
        <is>
          <t>t · VA</t>
        </is>
      </c>
      <c r="H607" s="19" t="inlineStr">
        <is>
          <t>Convexidad</t>
        </is>
      </c>
      <c r="I607" s="19" t="inlineStr">
        <is>
          <t>t · Flujo</t>
        </is>
      </c>
    </row>
    <row r="608">
      <c r="A608" t="n">
        <v>0</v>
      </c>
      <c r="B608" t="n">
        <v>0</v>
      </c>
      <c r="E608" t="n">
        <v>0</v>
      </c>
    </row>
    <row r="609">
      <c r="A609" t="n">
        <v>1</v>
      </c>
      <c r="B609" s="20">
        <f>A609/2</f>
        <v/>
      </c>
      <c r="C609" s="20" t="n">
        <v>5</v>
      </c>
      <c r="D609" s="20" t="n">
        <v>10</v>
      </c>
      <c r="E609" s="20">
        <f>C609+D609</f>
        <v/>
      </c>
      <c r="F609" s="20">
        <f>E609/(1+$B$620)^B609</f>
        <v/>
      </c>
      <c r="G609" s="20">
        <f>B609*F609</f>
        <v/>
      </c>
      <c r="H609" s="20">
        <f>E609*B609*(B609+1)/(1+$B$620)^(B609+2)</f>
        <v/>
      </c>
      <c r="I609" s="20">
        <f>B609*E609</f>
        <v/>
      </c>
    </row>
    <row r="610">
      <c r="A610" t="n">
        <v>2</v>
      </c>
      <c r="B610" s="20">
        <f>A610/2</f>
        <v/>
      </c>
      <c r="C610" s="20" t="n">
        <v>4.5</v>
      </c>
      <c r="D610" s="20" t="n">
        <v>10</v>
      </c>
      <c r="E610" s="20">
        <f>C610+D610</f>
        <v/>
      </c>
      <c r="F610" s="20">
        <f>E610/(1+$B$620)^B610</f>
        <v/>
      </c>
      <c r="G610" s="20">
        <f>B610*F610</f>
        <v/>
      </c>
      <c r="H610" s="20">
        <f>E610*B610*(B610+1)/(1+$B$620)^(B610+2)</f>
        <v/>
      </c>
      <c r="I610" s="20">
        <f>B610*E610</f>
        <v/>
      </c>
    </row>
    <row r="611">
      <c r="A611" t="n">
        <v>3</v>
      </c>
      <c r="B611" s="20">
        <f>A611/2</f>
        <v/>
      </c>
      <c r="C611" s="20" t="n">
        <v>4</v>
      </c>
      <c r="D611" s="20" t="n">
        <v>10</v>
      </c>
      <c r="E611" s="20">
        <f>C611+D611</f>
        <v/>
      </c>
      <c r="F611" s="20">
        <f>E611/(1+$B$620)^B611</f>
        <v/>
      </c>
      <c r="G611" s="20">
        <f>B611*F611</f>
        <v/>
      </c>
      <c r="H611" s="20">
        <f>E611*B611*(B611+1)/(1+$B$620)^(B611+2)</f>
        <v/>
      </c>
      <c r="I611" s="20">
        <f>B611*E611</f>
        <v/>
      </c>
    </row>
    <row r="612">
      <c r="A612" t="n">
        <v>4</v>
      </c>
      <c r="B612" s="20">
        <f>A612/2</f>
        <v/>
      </c>
      <c r="C612" s="20" t="n">
        <v>3.5</v>
      </c>
      <c r="D612" s="20" t="n">
        <v>10</v>
      </c>
      <c r="E612" s="20">
        <f>C612+D612</f>
        <v/>
      </c>
      <c r="F612" s="20">
        <f>E612/(1+$B$620)^B612</f>
        <v/>
      </c>
      <c r="G612" s="20">
        <f>B612*F612</f>
        <v/>
      </c>
      <c r="H612" s="20">
        <f>E612*B612*(B612+1)/(1+$B$620)^(B612+2)</f>
        <v/>
      </c>
      <c r="I612" s="20">
        <f>B612*E612</f>
        <v/>
      </c>
    </row>
    <row r="613">
      <c r="A613" t="n">
        <v>5</v>
      </c>
      <c r="B613" s="20">
        <f>A613/2</f>
        <v/>
      </c>
      <c r="C613" s="20" t="n">
        <v>3</v>
      </c>
      <c r="D613" s="20" t="n">
        <v>10</v>
      </c>
      <c r="E613" s="20">
        <f>C613+D613</f>
        <v/>
      </c>
      <c r="F613" s="20">
        <f>E613/(1+$B$620)^B613</f>
        <v/>
      </c>
      <c r="G613" s="20">
        <f>B613*F613</f>
        <v/>
      </c>
      <c r="H613" s="20">
        <f>E613*B613*(B613+1)/(1+$B$620)^(B613+2)</f>
        <v/>
      </c>
      <c r="I613" s="20">
        <f>B613*E613</f>
        <v/>
      </c>
    </row>
    <row r="614">
      <c r="A614" t="n">
        <v>6</v>
      </c>
      <c r="B614" s="20">
        <f>A614/2</f>
        <v/>
      </c>
      <c r="C614" s="20" t="n">
        <v>2.5</v>
      </c>
      <c r="D614" s="20" t="n">
        <v>10</v>
      </c>
      <c r="E614" s="20">
        <f>C614+D614</f>
        <v/>
      </c>
      <c r="F614" s="20">
        <f>E614/(1+$B$620)^B614</f>
        <v/>
      </c>
      <c r="G614" s="20">
        <f>B614*F614</f>
        <v/>
      </c>
      <c r="H614" s="20">
        <f>E614*B614*(B614+1)/(1+$B$620)^(B614+2)</f>
        <v/>
      </c>
      <c r="I614" s="20">
        <f>B614*E614</f>
        <v/>
      </c>
    </row>
    <row r="615">
      <c r="A615" t="n">
        <v>7</v>
      </c>
      <c r="B615" s="20">
        <f>A615/2</f>
        <v/>
      </c>
      <c r="C615" s="20" t="n">
        <v>2</v>
      </c>
      <c r="D615" s="20" t="n">
        <v>10</v>
      </c>
      <c r="E615" s="20">
        <f>C615+D615</f>
        <v/>
      </c>
      <c r="F615" s="20">
        <f>E615/(1+$B$620)^B615</f>
        <v/>
      </c>
      <c r="G615" s="20">
        <f>B615*F615</f>
        <v/>
      </c>
      <c r="H615" s="20">
        <f>E615*B615*(B615+1)/(1+$B$620)^(B615+2)</f>
        <v/>
      </c>
      <c r="I615" s="20">
        <f>B615*E615</f>
        <v/>
      </c>
    </row>
    <row r="616">
      <c r="A616" t="n">
        <v>8</v>
      </c>
      <c r="B616" s="20">
        <f>A616/2</f>
        <v/>
      </c>
      <c r="C616" s="20" t="n">
        <v>1.5</v>
      </c>
      <c r="D616" s="20" t="n">
        <v>10</v>
      </c>
      <c r="E616" s="20">
        <f>C616+D616</f>
        <v/>
      </c>
      <c r="F616" s="20">
        <f>E616/(1+$B$620)^B616</f>
        <v/>
      </c>
      <c r="G616" s="20">
        <f>B616*F616</f>
        <v/>
      </c>
      <c r="H616" s="20">
        <f>E616*B616*(B616+1)/(1+$B$620)^(B616+2)</f>
        <v/>
      </c>
      <c r="I616" s="20">
        <f>B616*E616</f>
        <v/>
      </c>
    </row>
    <row r="617">
      <c r="A617" t="n">
        <v>9</v>
      </c>
      <c r="B617" s="20">
        <f>A617/2</f>
        <v/>
      </c>
      <c r="C617" s="20" t="n">
        <v>1</v>
      </c>
      <c r="D617" s="20" t="n">
        <v>10</v>
      </c>
      <c r="E617" s="20">
        <f>C617+D617</f>
        <v/>
      </c>
      <c r="F617" s="20">
        <f>E617/(1+$B$620)^B617</f>
        <v/>
      </c>
      <c r="G617" s="20">
        <f>B617*F617</f>
        <v/>
      </c>
      <c r="H617" s="20">
        <f>E617*B617*(B617+1)/(1+$B$620)^(B617+2)</f>
        <v/>
      </c>
      <c r="I617" s="20">
        <f>B617*E617</f>
        <v/>
      </c>
    </row>
    <row r="618">
      <c r="A618" t="n">
        <v>10</v>
      </c>
      <c r="B618" s="20">
        <f>A618/2</f>
        <v/>
      </c>
      <c r="C618" s="20" t="n">
        <v>0.5</v>
      </c>
      <c r="D618" s="20" t="n">
        <v>10</v>
      </c>
      <c r="E618" s="20">
        <f>C618+D618</f>
        <v/>
      </c>
      <c r="F618" s="20">
        <f>E618/(1+$B$620)^B618</f>
        <v/>
      </c>
      <c r="G618" s="20">
        <f>B618*F618</f>
        <v/>
      </c>
      <c r="H618" s="20">
        <f>E618*B618*(B618+1)/(1+$B$620)^(B618+2)</f>
        <v/>
      </c>
      <c r="I618" s="20">
        <f>B618*E618</f>
        <v/>
      </c>
    </row>
    <row r="620">
      <c r="A620" s="5" t="inlineStr">
        <is>
          <t>TIR efectiva anual</t>
        </is>
      </c>
      <c r="B620" s="21" t="n">
        <v>0.1449</v>
      </c>
    </row>
    <row r="621">
      <c r="A621" t="inlineStr">
        <is>
          <t>Precio</t>
        </is>
      </c>
      <c r="B621" s="20">
        <f>SUM(F609:F618)</f>
        <v/>
      </c>
    </row>
    <row r="622">
      <c r="A622" t="inlineStr">
        <is>
          <t>Duration</t>
        </is>
      </c>
      <c r="B622" s="20">
        <f>SUM(G609:G618)/B621</f>
        <v/>
      </c>
    </row>
    <row r="623">
      <c r="A623" t="inlineStr">
        <is>
          <t>DM = D/(1+TIR)</t>
        </is>
      </c>
      <c r="B623" s="20">
        <f>B622/(1+$B$620)</f>
        <v/>
      </c>
    </row>
    <row r="624">
      <c r="A624" t="inlineStr">
        <is>
          <t>Convexidad</t>
        </is>
      </c>
      <c r="B624" s="20">
        <f>SUM(H609:H618)/B621</f>
        <v/>
      </c>
    </row>
    <row r="625">
      <c r="A625" t="inlineStr">
        <is>
          <t>PPV</t>
        </is>
      </c>
      <c r="B625" s="20">
        <f>SUM(I609:I618)/SUM(E609:E618)</f>
        <v/>
      </c>
    </row>
    <row r="628">
      <c r="A628" s="3" t="inlineStr">
        <is>
          <t>Ejercicio 95</t>
        </is>
      </c>
      <c r="B628" s="3" t="inlineStr">
        <is>
          <t>Completo · Error de la duration</t>
        </is>
      </c>
      <c r="C628" s="7" t="n"/>
      <c r="D628" s="7" t="n"/>
      <c r="E628" s="7" t="n"/>
      <c r="F628" s="7" t="n"/>
      <c r="G628" s="7" t="n"/>
      <c r="H628" s="7" t="n"/>
      <c r="I628" s="7" t="n"/>
      <c r="J628" s="7" t="n"/>
    </row>
    <row r="629">
      <c r="A629" s="5" t="inlineStr">
        <is>
          <t>Respuesta</t>
        </is>
      </c>
      <c r="C629" s="18">
        <f>(SUMPRODUCT(E635:E644/(1+$B$646+0.02)^B635:B644)/B647-1)-(-B649*0.02)</f>
        <v/>
      </c>
      <c r="D629" s="2" t="inlineStr">
        <is>
          <t>1,27 %</t>
        </is>
      </c>
    </row>
    <row r="630">
      <c r="A630" t="inlineStr">
        <is>
          <t>En Excel</t>
        </is>
      </c>
      <c r="C630" t="inlineStr">
        <is>
          <t>VA de cada flujo = flujo/(1+TIR)^t; con eso, SUMAPRODUCTO para precio, duration o convexidad</t>
        </is>
      </c>
    </row>
    <row r="631" ht="45" customHeight="1">
      <c r="A631" t="inlineStr">
        <is>
          <t>Explicación</t>
        </is>
      </c>
      <c r="C631" s="8" t="inlineStr">
        <is>
          <t>TIR efectiva anual usada = 8,000 %. Precio = 79,870 · Duration = 7,8456 años · DM = 7,2645 · Convexidad = 67,877 · PPV = 8,5000. ΔTIR = 0,020. Por DM: −DM × ΔTIR = -14,529 %. Con convexidad: + ½ × C × ΔTIR² = 1,358 %. Variación real: -13,262 %.</t>
        </is>
      </c>
    </row>
    <row r="633">
      <c r="A633" s="19" t="inlineStr">
        <is>
          <t>Período</t>
        </is>
      </c>
      <c r="B633" s="19" t="inlineStr">
        <is>
          <t>t (años)</t>
        </is>
      </c>
      <c r="C633" s="19" t="inlineStr">
        <is>
          <t>Renta</t>
        </is>
      </c>
      <c r="D633" s="19" t="inlineStr">
        <is>
          <t>Amort.</t>
        </is>
      </c>
      <c r="E633" s="19" t="inlineStr">
        <is>
          <t>Flujo</t>
        </is>
      </c>
      <c r="F633" s="19" t="inlineStr">
        <is>
          <t>VA</t>
        </is>
      </c>
      <c r="G633" s="19" t="inlineStr">
        <is>
          <t>t · VA</t>
        </is>
      </c>
      <c r="H633" s="19" t="inlineStr">
        <is>
          <t>Convexidad</t>
        </is>
      </c>
      <c r="I633" s="19" t="inlineStr">
        <is>
          <t>t · Flujo</t>
        </is>
      </c>
    </row>
    <row r="634">
      <c r="A634" t="n">
        <v>0</v>
      </c>
      <c r="B634" t="n">
        <v>0</v>
      </c>
      <c r="E634" t="n">
        <v>0</v>
      </c>
    </row>
    <row r="635">
      <c r="A635" t="n">
        <v>1</v>
      </c>
      <c r="B635" s="20">
        <f>A635/1</f>
        <v/>
      </c>
      <c r="C635" s="20" t="n">
        <v>5</v>
      </c>
      <c r="D635" s="20" t="n">
        <v>0</v>
      </c>
      <c r="E635" s="20">
        <f>C635+D635</f>
        <v/>
      </c>
      <c r="F635" s="20">
        <f>E635/(1+$B$646)^B635</f>
        <v/>
      </c>
      <c r="G635" s="20">
        <f>B635*F635</f>
        <v/>
      </c>
      <c r="H635" s="20">
        <f>E635*B635*(B635+1)/(1+$B$646)^(B635+2)</f>
        <v/>
      </c>
      <c r="I635" s="20">
        <f>B635*E635</f>
        <v/>
      </c>
    </row>
    <row r="636">
      <c r="A636" t="n">
        <v>2</v>
      </c>
      <c r="B636" s="20">
        <f>A636/1</f>
        <v/>
      </c>
      <c r="C636" s="20" t="n">
        <v>5</v>
      </c>
      <c r="D636" s="20" t="n">
        <v>0</v>
      </c>
      <c r="E636" s="20">
        <f>C636+D636</f>
        <v/>
      </c>
      <c r="F636" s="20">
        <f>E636/(1+$B$646)^B636</f>
        <v/>
      </c>
      <c r="G636" s="20">
        <f>B636*F636</f>
        <v/>
      </c>
      <c r="H636" s="20">
        <f>E636*B636*(B636+1)/(1+$B$646)^(B636+2)</f>
        <v/>
      </c>
      <c r="I636" s="20">
        <f>B636*E636</f>
        <v/>
      </c>
    </row>
    <row r="637">
      <c r="A637" t="n">
        <v>3</v>
      </c>
      <c r="B637" s="20">
        <f>A637/1</f>
        <v/>
      </c>
      <c r="C637" s="20" t="n">
        <v>5</v>
      </c>
      <c r="D637" s="20" t="n">
        <v>0</v>
      </c>
      <c r="E637" s="20">
        <f>C637+D637</f>
        <v/>
      </c>
      <c r="F637" s="20">
        <f>E637/(1+$B$646)^B637</f>
        <v/>
      </c>
      <c r="G637" s="20">
        <f>B637*F637</f>
        <v/>
      </c>
      <c r="H637" s="20">
        <f>E637*B637*(B637+1)/(1+$B$646)^(B637+2)</f>
        <v/>
      </c>
      <c r="I637" s="20">
        <f>B637*E637</f>
        <v/>
      </c>
    </row>
    <row r="638">
      <c r="A638" t="n">
        <v>4</v>
      </c>
      <c r="B638" s="20">
        <f>A638/1</f>
        <v/>
      </c>
      <c r="C638" s="20" t="n">
        <v>5</v>
      </c>
      <c r="D638" s="20" t="n">
        <v>0</v>
      </c>
      <c r="E638" s="20">
        <f>C638+D638</f>
        <v/>
      </c>
      <c r="F638" s="20">
        <f>E638/(1+$B$646)^B638</f>
        <v/>
      </c>
      <c r="G638" s="20">
        <f>B638*F638</f>
        <v/>
      </c>
      <c r="H638" s="20">
        <f>E638*B638*(B638+1)/(1+$B$646)^(B638+2)</f>
        <v/>
      </c>
      <c r="I638" s="20">
        <f>B638*E638</f>
        <v/>
      </c>
    </row>
    <row r="639">
      <c r="A639" t="n">
        <v>5</v>
      </c>
      <c r="B639" s="20">
        <f>A639/1</f>
        <v/>
      </c>
      <c r="C639" s="20" t="n">
        <v>5</v>
      </c>
      <c r="D639" s="20" t="n">
        <v>0</v>
      </c>
      <c r="E639" s="20">
        <f>C639+D639</f>
        <v/>
      </c>
      <c r="F639" s="20">
        <f>E639/(1+$B$646)^B639</f>
        <v/>
      </c>
      <c r="G639" s="20">
        <f>B639*F639</f>
        <v/>
      </c>
      <c r="H639" s="20">
        <f>E639*B639*(B639+1)/(1+$B$646)^(B639+2)</f>
        <v/>
      </c>
      <c r="I639" s="20">
        <f>B639*E639</f>
        <v/>
      </c>
    </row>
    <row r="640">
      <c r="A640" t="n">
        <v>6</v>
      </c>
      <c r="B640" s="20">
        <f>A640/1</f>
        <v/>
      </c>
      <c r="C640" s="20" t="n">
        <v>5</v>
      </c>
      <c r="D640" s="20" t="n">
        <v>0</v>
      </c>
      <c r="E640" s="20">
        <f>C640+D640</f>
        <v/>
      </c>
      <c r="F640" s="20">
        <f>E640/(1+$B$646)^B640</f>
        <v/>
      </c>
      <c r="G640" s="20">
        <f>B640*F640</f>
        <v/>
      </c>
      <c r="H640" s="20">
        <f>E640*B640*(B640+1)/(1+$B$646)^(B640+2)</f>
        <v/>
      </c>
      <c r="I640" s="20">
        <f>B640*E640</f>
        <v/>
      </c>
    </row>
    <row r="641">
      <c r="A641" t="n">
        <v>7</v>
      </c>
      <c r="B641" s="20">
        <f>A641/1</f>
        <v/>
      </c>
      <c r="C641" s="20" t="n">
        <v>5</v>
      </c>
      <c r="D641" s="20" t="n">
        <v>0</v>
      </c>
      <c r="E641" s="20">
        <f>C641+D641</f>
        <v/>
      </c>
      <c r="F641" s="20">
        <f>E641/(1+$B$646)^B641</f>
        <v/>
      </c>
      <c r="G641" s="20">
        <f>B641*F641</f>
        <v/>
      </c>
      <c r="H641" s="20">
        <f>E641*B641*(B641+1)/(1+$B$646)^(B641+2)</f>
        <v/>
      </c>
      <c r="I641" s="20">
        <f>B641*E641</f>
        <v/>
      </c>
    </row>
    <row r="642">
      <c r="A642" t="n">
        <v>8</v>
      </c>
      <c r="B642" s="20">
        <f>A642/1</f>
        <v/>
      </c>
      <c r="C642" s="20" t="n">
        <v>5</v>
      </c>
      <c r="D642" s="20" t="n">
        <v>0</v>
      </c>
      <c r="E642" s="20">
        <f>C642+D642</f>
        <v/>
      </c>
      <c r="F642" s="20">
        <f>E642/(1+$B$646)^B642</f>
        <v/>
      </c>
      <c r="G642" s="20">
        <f>B642*F642</f>
        <v/>
      </c>
      <c r="H642" s="20">
        <f>E642*B642*(B642+1)/(1+$B$646)^(B642+2)</f>
        <v/>
      </c>
      <c r="I642" s="20">
        <f>B642*E642</f>
        <v/>
      </c>
    </row>
    <row r="643">
      <c r="A643" t="n">
        <v>9</v>
      </c>
      <c r="B643" s="20">
        <f>A643/1</f>
        <v/>
      </c>
      <c r="C643" s="20" t="n">
        <v>5</v>
      </c>
      <c r="D643" s="20" t="n">
        <v>0</v>
      </c>
      <c r="E643" s="20">
        <f>C643+D643</f>
        <v/>
      </c>
      <c r="F643" s="20">
        <f>E643/(1+$B$646)^B643</f>
        <v/>
      </c>
      <c r="G643" s="20">
        <f>B643*F643</f>
        <v/>
      </c>
      <c r="H643" s="20">
        <f>E643*B643*(B643+1)/(1+$B$646)^(B643+2)</f>
        <v/>
      </c>
      <c r="I643" s="20">
        <f>B643*E643</f>
        <v/>
      </c>
    </row>
    <row r="644">
      <c r="A644" t="n">
        <v>10</v>
      </c>
      <c r="B644" s="20">
        <f>A644/1</f>
        <v/>
      </c>
      <c r="C644" s="20" t="n">
        <v>5</v>
      </c>
      <c r="D644" s="20" t="n">
        <v>100</v>
      </c>
      <c r="E644" s="20">
        <f>C644+D644</f>
        <v/>
      </c>
      <c r="F644" s="20">
        <f>E644/(1+$B$646)^B644</f>
        <v/>
      </c>
      <c r="G644" s="20">
        <f>B644*F644</f>
        <v/>
      </c>
      <c r="H644" s="20">
        <f>E644*B644*(B644+1)/(1+$B$646)^(B644+2)</f>
        <v/>
      </c>
      <c r="I644" s="20">
        <f>B644*E644</f>
        <v/>
      </c>
    </row>
    <row r="646">
      <c r="A646" s="5" t="inlineStr">
        <is>
          <t>TIR efectiva anual</t>
        </is>
      </c>
      <c r="B646" s="21" t="n">
        <v>0.08</v>
      </c>
    </row>
    <row r="647">
      <c r="A647" t="inlineStr">
        <is>
          <t>Precio</t>
        </is>
      </c>
      <c r="B647" s="20">
        <f>SUM(F635:F644)</f>
        <v/>
      </c>
    </row>
    <row r="648">
      <c r="A648" t="inlineStr">
        <is>
          <t>Duration</t>
        </is>
      </c>
      <c r="B648" s="20">
        <f>SUM(G635:G644)/B647</f>
        <v/>
      </c>
    </row>
    <row r="649">
      <c r="A649" t="inlineStr">
        <is>
          <t>DM = D/(1+TIR)</t>
        </is>
      </c>
      <c r="B649" s="20">
        <f>B648/(1+$B$646)</f>
        <v/>
      </c>
    </row>
    <row r="650">
      <c r="A650" t="inlineStr">
        <is>
          <t>Convexidad</t>
        </is>
      </c>
      <c r="B650" s="20">
        <f>SUM(H635:H644)/B647</f>
        <v/>
      </c>
    </row>
    <row r="651">
      <c r="A651" t="inlineStr">
        <is>
          <t>PPV</t>
        </is>
      </c>
      <c r="B651" s="20">
        <f>SUM(I635:I644)/SUM(E635:E644)</f>
        <v/>
      </c>
    </row>
    <row r="654">
      <c r="A654" s="3" t="inlineStr">
        <is>
          <t>Ejercicio 96</t>
        </is>
      </c>
      <c r="B654" s="3" t="inlineStr">
        <is>
          <t>Completo · TIR entre fechas de pago</t>
        </is>
      </c>
      <c r="C654" s="7" t="n"/>
      <c r="D654" s="7" t="n"/>
      <c r="E654" s="7" t="n"/>
      <c r="F654" s="7" t="n"/>
      <c r="G654" s="7" t="n"/>
      <c r="H654" s="7" t="n"/>
      <c r="I654" s="7" t="n"/>
      <c r="J654" s="7" t="n"/>
    </row>
    <row r="655">
      <c r="A655" s="5" t="inlineStr">
        <is>
          <t>Respuesta</t>
        </is>
      </c>
      <c r="C655" s="18">
        <f>$B$668</f>
        <v/>
      </c>
      <c r="D655" s="2" t="inlineStr">
        <is>
          <t>7,38 %</t>
        </is>
      </c>
    </row>
    <row r="656">
      <c r="A656" t="inlineStr">
        <is>
          <t>En Excel</t>
        </is>
      </c>
      <c r="C656" t="inlineStr">
        <is>
          <t>Flujo con fechas: −precio el día de compra y cada pago en su fecha → =TIR.NO.PER(flujos;fechas)</t>
        </is>
      </c>
    </row>
    <row r="657" ht="30" customHeight="1">
      <c r="A657" t="inlineStr">
        <is>
          <t>Explicación</t>
        </is>
      </c>
      <c r="C657" s="8" t="inlineStr">
        <is>
          <t>TIR efectiva anual = 7,385 %. Precio = 98,700 · Duration = 2,4946 años · DM = 2,3231 · Convexidad = 7,868 · PPV = 2,5185.</t>
        </is>
      </c>
    </row>
    <row r="659">
      <c r="A659" s="19" t="inlineStr">
        <is>
          <t>Fecha</t>
        </is>
      </c>
      <c r="B659" s="19" t="inlineStr">
        <is>
          <t>t (años)</t>
        </is>
      </c>
      <c r="C659" s="19" t="inlineStr">
        <is>
          <t>Renta</t>
        </is>
      </c>
      <c r="D659" s="19" t="inlineStr">
        <is>
          <t>Amort.</t>
        </is>
      </c>
      <c r="E659" s="19" t="inlineStr">
        <is>
          <t>Flujo</t>
        </is>
      </c>
      <c r="F659" s="19" t="inlineStr">
        <is>
          <t>VA</t>
        </is>
      </c>
      <c r="G659" s="19" t="inlineStr">
        <is>
          <t>t · VA</t>
        </is>
      </c>
      <c r="H659" s="19" t="inlineStr">
        <is>
          <t>Convexidad</t>
        </is>
      </c>
      <c r="I659" s="19" t="inlineStr">
        <is>
          <t>t · Flujo</t>
        </is>
      </c>
    </row>
    <row r="660">
      <c r="A660" s="23" t="n">
        <v>46433</v>
      </c>
      <c r="B660" t="n">
        <v>0</v>
      </c>
      <c r="E660" t="n">
        <v>-98.7</v>
      </c>
    </row>
    <row r="661">
      <c r="A661" s="23" t="n">
        <v>46507</v>
      </c>
      <c r="B661" s="20">
        <f>(A661-$A$660)/365</f>
        <v/>
      </c>
      <c r="C661" s="20" t="n">
        <v>3</v>
      </c>
      <c r="D661" s="20" t="n">
        <v>0</v>
      </c>
      <c r="E661" s="20">
        <f>C661+D661</f>
        <v/>
      </c>
      <c r="F661" s="20">
        <f>E661/(1+$B$668)^B661</f>
        <v/>
      </c>
      <c r="G661" s="20">
        <f>B661*F661</f>
        <v/>
      </c>
      <c r="H661" s="20">
        <f>E661*B661*(B661+1)/(1+$B$668)^(B661+2)</f>
        <v/>
      </c>
      <c r="I661" s="20">
        <f>B661*E661</f>
        <v/>
      </c>
    </row>
    <row r="662">
      <c r="A662" s="23" t="n">
        <v>46691</v>
      </c>
      <c r="B662" s="20">
        <f>(A662-$A$660)/365</f>
        <v/>
      </c>
      <c r="C662" s="20" t="n">
        <v>3</v>
      </c>
      <c r="D662" s="20" t="n">
        <v>0</v>
      </c>
      <c r="E662" s="20">
        <f>C662+D662</f>
        <v/>
      </c>
      <c r="F662" s="20">
        <f>E662/(1+$B$668)^B662</f>
        <v/>
      </c>
      <c r="G662" s="20">
        <f>B662*F662</f>
        <v/>
      </c>
      <c r="H662" s="20">
        <f>E662*B662*(B662+1)/(1+$B$668)^(B662+2)</f>
        <v/>
      </c>
      <c r="I662" s="20">
        <f>B662*E662</f>
        <v/>
      </c>
    </row>
    <row r="663">
      <c r="A663" s="23" t="n">
        <v>46873</v>
      </c>
      <c r="B663" s="20">
        <f>(A663-$A$660)/365</f>
        <v/>
      </c>
      <c r="C663" s="20" t="n">
        <v>3</v>
      </c>
      <c r="D663" s="20" t="n">
        <v>0</v>
      </c>
      <c r="E663" s="20">
        <f>C663+D663</f>
        <v/>
      </c>
      <c r="F663" s="20">
        <f>E663/(1+$B$668)^B663</f>
        <v/>
      </c>
      <c r="G663" s="20">
        <f>B663*F663</f>
        <v/>
      </c>
      <c r="H663" s="20">
        <f>E663*B663*(B663+1)/(1+$B$668)^(B663+2)</f>
        <v/>
      </c>
      <c r="I663" s="20">
        <f>B663*E663</f>
        <v/>
      </c>
    </row>
    <row r="664">
      <c r="A664" s="23" t="n">
        <v>47057</v>
      </c>
      <c r="B664" s="20">
        <f>(A664-$A$660)/365</f>
        <v/>
      </c>
      <c r="C664" s="20" t="n">
        <v>3</v>
      </c>
      <c r="D664" s="20" t="n">
        <v>0</v>
      </c>
      <c r="E664" s="20">
        <f>C664+D664</f>
        <v/>
      </c>
      <c r="F664" s="20">
        <f>E664/(1+$B$668)^B664</f>
        <v/>
      </c>
      <c r="G664" s="20">
        <f>B664*F664</f>
        <v/>
      </c>
      <c r="H664" s="20">
        <f>E664*B664*(B664+1)/(1+$B$668)^(B664+2)</f>
        <v/>
      </c>
      <c r="I664" s="20">
        <f>B664*E664</f>
        <v/>
      </c>
    </row>
    <row r="665">
      <c r="A665" s="23" t="n">
        <v>47238</v>
      </c>
      <c r="B665" s="20">
        <f>(A665-$A$660)/365</f>
        <v/>
      </c>
      <c r="C665" s="20" t="n">
        <v>3</v>
      </c>
      <c r="D665" s="20" t="n">
        <v>0</v>
      </c>
      <c r="E665" s="20">
        <f>C665+D665</f>
        <v/>
      </c>
      <c r="F665" s="20">
        <f>E665/(1+$B$668)^B665</f>
        <v/>
      </c>
      <c r="G665" s="20">
        <f>B665*F665</f>
        <v/>
      </c>
      <c r="H665" s="20">
        <f>E665*B665*(B665+1)/(1+$B$668)^(B665+2)</f>
        <v/>
      </c>
      <c r="I665" s="20">
        <f>B665*E665</f>
        <v/>
      </c>
    </row>
    <row r="666">
      <c r="A666" s="23" t="n">
        <v>47422</v>
      </c>
      <c r="B666" s="20">
        <f>(A666-$A$660)/365</f>
        <v/>
      </c>
      <c r="C666" s="20" t="n">
        <v>3</v>
      </c>
      <c r="D666" s="20" t="n">
        <v>100</v>
      </c>
      <c r="E666" s="20">
        <f>C666+D666</f>
        <v/>
      </c>
      <c r="F666" s="20">
        <f>E666/(1+$B$668)^B666</f>
        <v/>
      </c>
      <c r="G666" s="20">
        <f>B666*F666</f>
        <v/>
      </c>
      <c r="H666" s="20">
        <f>E666*B666*(B666+1)/(1+$B$668)^(B666+2)</f>
        <v/>
      </c>
      <c r="I666" s="20">
        <f>B666*E666</f>
        <v/>
      </c>
    </row>
    <row r="668">
      <c r="A668" s="5" t="inlineStr">
        <is>
          <t>TIR efectiva anual</t>
        </is>
      </c>
      <c r="B668" s="21">
        <f>XIRR(E660:E666,A660:A666)</f>
        <v/>
      </c>
    </row>
    <row r="669">
      <c r="A669" t="inlineStr">
        <is>
          <t>Precio</t>
        </is>
      </c>
      <c r="B669" s="20">
        <f>SUM(F661:F666)</f>
        <v/>
      </c>
    </row>
    <row r="670">
      <c r="A670" t="inlineStr">
        <is>
          <t>Duration</t>
        </is>
      </c>
      <c r="B670" s="20">
        <f>SUM(G661:G666)/B669</f>
        <v/>
      </c>
    </row>
    <row r="671">
      <c r="A671" t="inlineStr">
        <is>
          <t>DM = D/(1+TIR)</t>
        </is>
      </c>
      <c r="B671" s="20">
        <f>B670/(1+$B$668)</f>
        <v/>
      </c>
    </row>
    <row r="672">
      <c r="A672" t="inlineStr">
        <is>
          <t>Convexidad</t>
        </is>
      </c>
      <c r="B672" s="20">
        <f>SUM(H661:H666)/B669</f>
        <v/>
      </c>
    </row>
    <row r="673">
      <c r="A673" t="inlineStr">
        <is>
          <t>PPV</t>
        </is>
      </c>
      <c r="B673" s="20">
        <f>SUM(I661:I666)/SUM(E661:E666)</f>
        <v/>
      </c>
    </row>
    <row r="676">
      <c r="A676" s="3" t="inlineStr">
        <is>
          <t>Ejercicio 97</t>
        </is>
      </c>
      <c r="B676" s="3" t="inlineStr">
        <is>
          <t>Completo · TIR con precio limpio</t>
        </is>
      </c>
      <c r="C676" s="7" t="n"/>
      <c r="D676" s="7" t="n"/>
      <c r="E676" s="7" t="n"/>
      <c r="F676" s="7" t="n"/>
      <c r="G676" s="7" t="n"/>
      <c r="H676" s="7" t="n"/>
      <c r="I676" s="7" t="n"/>
      <c r="J676" s="7" t="n"/>
    </row>
    <row r="677">
      <c r="A677" s="5" t="inlineStr">
        <is>
          <t>Respuesta</t>
        </is>
      </c>
      <c r="C677" s="18">
        <f>$B$690</f>
        <v/>
      </c>
      <c r="D677" s="2" t="inlineStr">
        <is>
          <t>7,36 %</t>
        </is>
      </c>
    </row>
    <row r="678">
      <c r="A678" t="inlineStr">
        <is>
          <t>En Excel</t>
        </is>
      </c>
      <c r="C678" t="inlineStr">
        <is>
          <t>Flujo con fechas: −precio el día de compra y cada pago en su fecha → =TIR.NO.PER(flujos;fechas)</t>
        </is>
      </c>
    </row>
    <row r="679" ht="45" customHeight="1">
      <c r="A679" t="inlineStr">
        <is>
          <t>Explicación</t>
        </is>
      </c>
      <c r="C679" s="8" t="inlineStr">
        <is>
          <t>TIR efectiva anual = 7,359 %. Precio = 98,759 · Duration = 2,4947 años · DM = 2,3237 · Convexidad = 7,872 · PPV = 2,5185. Intereses corridos = 100 × 6% × 107/365 = 1,7589; precio sucio = 98,7589.</t>
        </is>
      </c>
    </row>
    <row r="681">
      <c r="A681" s="19" t="inlineStr">
        <is>
          <t>Fecha</t>
        </is>
      </c>
      <c r="B681" s="19" t="inlineStr">
        <is>
          <t>t (años)</t>
        </is>
      </c>
      <c r="C681" s="19" t="inlineStr">
        <is>
          <t>Renta</t>
        </is>
      </c>
      <c r="D681" s="19" t="inlineStr">
        <is>
          <t>Amort.</t>
        </is>
      </c>
      <c r="E681" s="19" t="inlineStr">
        <is>
          <t>Flujo</t>
        </is>
      </c>
      <c r="F681" s="19" t="inlineStr">
        <is>
          <t>VA</t>
        </is>
      </c>
      <c r="G681" s="19" t="inlineStr">
        <is>
          <t>t · VA</t>
        </is>
      </c>
      <c r="H681" s="19" t="inlineStr">
        <is>
          <t>Convexidad</t>
        </is>
      </c>
      <c r="I681" s="19" t="inlineStr">
        <is>
          <t>t · Flujo</t>
        </is>
      </c>
    </row>
    <row r="682">
      <c r="A682" s="23" t="n">
        <v>46433</v>
      </c>
      <c r="B682" t="n">
        <v>0</v>
      </c>
      <c r="E682">
        <f>-(97+100*0.06*(A682-DATE(2026,10,31))/365)</f>
        <v/>
      </c>
    </row>
    <row r="683">
      <c r="A683" s="23" t="n">
        <v>46507</v>
      </c>
      <c r="B683" s="20">
        <f>(A683-$A$682)/365</f>
        <v/>
      </c>
      <c r="C683" s="20" t="n">
        <v>3</v>
      </c>
      <c r="D683" s="20" t="n">
        <v>0</v>
      </c>
      <c r="E683" s="20">
        <f>C683+D683</f>
        <v/>
      </c>
      <c r="F683" s="20">
        <f>E683/(1+$B$690)^B683</f>
        <v/>
      </c>
      <c r="G683" s="20">
        <f>B683*F683</f>
        <v/>
      </c>
      <c r="H683" s="20">
        <f>E683*B683*(B683+1)/(1+$B$690)^(B683+2)</f>
        <v/>
      </c>
      <c r="I683" s="20">
        <f>B683*E683</f>
        <v/>
      </c>
    </row>
    <row r="684">
      <c r="A684" s="23" t="n">
        <v>46691</v>
      </c>
      <c r="B684" s="20">
        <f>(A684-$A$682)/365</f>
        <v/>
      </c>
      <c r="C684" s="20" t="n">
        <v>3</v>
      </c>
      <c r="D684" s="20" t="n">
        <v>0</v>
      </c>
      <c r="E684" s="20">
        <f>C684+D684</f>
        <v/>
      </c>
      <c r="F684" s="20">
        <f>E684/(1+$B$690)^B684</f>
        <v/>
      </c>
      <c r="G684" s="20">
        <f>B684*F684</f>
        <v/>
      </c>
      <c r="H684" s="20">
        <f>E684*B684*(B684+1)/(1+$B$690)^(B684+2)</f>
        <v/>
      </c>
      <c r="I684" s="20">
        <f>B684*E684</f>
        <v/>
      </c>
    </row>
    <row r="685">
      <c r="A685" s="23" t="n">
        <v>46873</v>
      </c>
      <c r="B685" s="20">
        <f>(A685-$A$682)/365</f>
        <v/>
      </c>
      <c r="C685" s="20" t="n">
        <v>3</v>
      </c>
      <c r="D685" s="20" t="n">
        <v>0</v>
      </c>
      <c r="E685" s="20">
        <f>C685+D685</f>
        <v/>
      </c>
      <c r="F685" s="20">
        <f>E685/(1+$B$690)^B685</f>
        <v/>
      </c>
      <c r="G685" s="20">
        <f>B685*F685</f>
        <v/>
      </c>
      <c r="H685" s="20">
        <f>E685*B685*(B685+1)/(1+$B$690)^(B685+2)</f>
        <v/>
      </c>
      <c r="I685" s="20">
        <f>B685*E685</f>
        <v/>
      </c>
    </row>
    <row r="686">
      <c r="A686" s="23" t="n">
        <v>47057</v>
      </c>
      <c r="B686" s="20">
        <f>(A686-$A$682)/365</f>
        <v/>
      </c>
      <c r="C686" s="20" t="n">
        <v>3</v>
      </c>
      <c r="D686" s="20" t="n">
        <v>0</v>
      </c>
      <c r="E686" s="20">
        <f>C686+D686</f>
        <v/>
      </c>
      <c r="F686" s="20">
        <f>E686/(1+$B$690)^B686</f>
        <v/>
      </c>
      <c r="G686" s="20">
        <f>B686*F686</f>
        <v/>
      </c>
      <c r="H686" s="20">
        <f>E686*B686*(B686+1)/(1+$B$690)^(B686+2)</f>
        <v/>
      </c>
      <c r="I686" s="20">
        <f>B686*E686</f>
        <v/>
      </c>
    </row>
    <row r="687">
      <c r="A687" s="23" t="n">
        <v>47238</v>
      </c>
      <c r="B687" s="20">
        <f>(A687-$A$682)/365</f>
        <v/>
      </c>
      <c r="C687" s="20" t="n">
        <v>3</v>
      </c>
      <c r="D687" s="20" t="n">
        <v>0</v>
      </c>
      <c r="E687" s="20">
        <f>C687+D687</f>
        <v/>
      </c>
      <c r="F687" s="20">
        <f>E687/(1+$B$690)^B687</f>
        <v/>
      </c>
      <c r="G687" s="20">
        <f>B687*F687</f>
        <v/>
      </c>
      <c r="H687" s="20">
        <f>E687*B687*(B687+1)/(1+$B$690)^(B687+2)</f>
        <v/>
      </c>
      <c r="I687" s="20">
        <f>B687*E687</f>
        <v/>
      </c>
    </row>
    <row r="688">
      <c r="A688" s="23" t="n">
        <v>47422</v>
      </c>
      <c r="B688" s="20">
        <f>(A688-$A$682)/365</f>
        <v/>
      </c>
      <c r="C688" s="20" t="n">
        <v>3</v>
      </c>
      <c r="D688" s="20" t="n">
        <v>100</v>
      </c>
      <c r="E688" s="20">
        <f>C688+D688</f>
        <v/>
      </c>
      <c r="F688" s="20">
        <f>E688/(1+$B$690)^B688</f>
        <v/>
      </c>
      <c r="G688" s="20">
        <f>B688*F688</f>
        <v/>
      </c>
      <c r="H688" s="20">
        <f>E688*B688*(B688+1)/(1+$B$690)^(B688+2)</f>
        <v/>
      </c>
      <c r="I688" s="20">
        <f>B688*E688</f>
        <v/>
      </c>
    </row>
    <row r="690">
      <c r="A690" s="5" t="inlineStr">
        <is>
          <t>TIR efectiva anual</t>
        </is>
      </c>
      <c r="B690" s="21">
        <f>XIRR(E682:E688,A682:A688)</f>
        <v/>
      </c>
    </row>
    <row r="691">
      <c r="A691" t="inlineStr">
        <is>
          <t>Precio</t>
        </is>
      </c>
      <c r="B691" s="20">
        <f>SUM(F683:F688)</f>
        <v/>
      </c>
    </row>
    <row r="692">
      <c r="A692" t="inlineStr">
        <is>
          <t>Duration</t>
        </is>
      </c>
      <c r="B692" s="20">
        <f>SUM(G683:G688)/B691</f>
        <v/>
      </c>
    </row>
    <row r="693">
      <c r="A693" t="inlineStr">
        <is>
          <t>DM = D/(1+TIR)</t>
        </is>
      </c>
      <c r="B693" s="20">
        <f>B692/(1+$B$690)</f>
        <v/>
      </c>
    </row>
    <row r="694">
      <c r="A694" t="inlineStr">
        <is>
          <t>Convexidad</t>
        </is>
      </c>
      <c r="B694" s="20">
        <f>SUM(H683:H688)/B691</f>
        <v/>
      </c>
    </row>
    <row r="695">
      <c r="A695" t="inlineStr">
        <is>
          <t>PPV</t>
        </is>
      </c>
      <c r="B695" s="20">
        <f>SUM(I683:I688)/SUM(E683:E688)</f>
        <v/>
      </c>
    </row>
    <row r="698">
      <c r="A698" s="3" t="inlineStr">
        <is>
          <t>Ejercicio 98</t>
        </is>
      </c>
      <c r="B698" s="3" t="inlineStr">
        <is>
          <t>Completo · AL30 · duration</t>
        </is>
      </c>
      <c r="C698" s="7" t="n"/>
      <c r="D698" s="7" t="n"/>
      <c r="E698" s="7" t="n"/>
      <c r="F698" s="7" t="n"/>
      <c r="G698" s="7" t="n"/>
      <c r="H698" s="7" t="n"/>
      <c r="I698" s="7" t="n"/>
      <c r="J698" s="7" t="n"/>
    </row>
    <row r="699">
      <c r="A699" s="5" t="inlineStr">
        <is>
          <t>Respuesta</t>
        </is>
      </c>
      <c r="C699" s="22">
        <f>B715</f>
        <v/>
      </c>
      <c r="D699" s="2" t="inlineStr">
        <is>
          <t>1,871</t>
        </is>
      </c>
    </row>
    <row r="700">
      <c r="A700" t="inlineStr">
        <is>
          <t>En Excel</t>
        </is>
      </c>
      <c r="C700" t="inlineStr">
        <is>
          <t>Flujo con fechas: −precio el día de compra y cada pago en su fecha → VA de cada flujo = flujo/(1+TEA)^(días/365)</t>
        </is>
      </c>
    </row>
    <row r="701" ht="45" customHeight="1">
      <c r="A701" t="inlineStr">
        <is>
          <t>Explicación</t>
        </is>
      </c>
      <c r="C701" s="8" t="inlineStr">
        <is>
          <t>TIR efectiva anual usada = 12,000 %. Precio = 46,776 · Duration = 1,8714 años · DM = 1,6709 · Convexidad = 5,073 · PPV = 1,9843. Al 09/01/2027 ya se pagaron 4 + 8 × 5 = 44 de capital: el saldo es 56 y quedan 7 cuotas de 8.</t>
        </is>
      </c>
    </row>
    <row r="703">
      <c r="A703" s="19" t="inlineStr">
        <is>
          <t>Fecha</t>
        </is>
      </c>
      <c r="B703" s="19" t="inlineStr">
        <is>
          <t>t (años)</t>
        </is>
      </c>
      <c r="C703" s="19" t="inlineStr">
        <is>
          <t>Renta</t>
        </is>
      </c>
      <c r="D703" s="19" t="inlineStr">
        <is>
          <t>Amort.</t>
        </is>
      </c>
      <c r="E703" s="19" t="inlineStr">
        <is>
          <t>Flujo</t>
        </is>
      </c>
      <c r="F703" s="19" t="inlineStr">
        <is>
          <t>VA</t>
        </is>
      </c>
      <c r="G703" s="19" t="inlineStr">
        <is>
          <t>t · VA</t>
        </is>
      </c>
      <c r="H703" s="19" t="inlineStr">
        <is>
          <t>Convexidad</t>
        </is>
      </c>
      <c r="I703" s="19" t="inlineStr">
        <is>
          <t>t · Flujo</t>
        </is>
      </c>
    </row>
    <row r="704">
      <c r="A704" s="23" t="n">
        <v>46396</v>
      </c>
      <c r="B704" t="n">
        <v>0</v>
      </c>
      <c r="E704" t="n">
        <v>0</v>
      </c>
    </row>
    <row r="705">
      <c r="A705" s="23" t="n">
        <v>46577</v>
      </c>
      <c r="B705" s="20">
        <f>(A705-$A$704)/365</f>
        <v/>
      </c>
      <c r="C705" s="20" t="n">
        <v>0.4793055556</v>
      </c>
      <c r="D705" s="20" t="n">
        <v>8</v>
      </c>
      <c r="E705" s="20">
        <f>C705+D705</f>
        <v/>
      </c>
      <c r="F705" s="20">
        <f>E705/(1+$B$713)^B705</f>
        <v/>
      </c>
      <c r="G705" s="20">
        <f>B705*F705</f>
        <v/>
      </c>
      <c r="H705" s="20">
        <f>E705*B705*(B705+1)/(1+$B$713)^(B705+2)</f>
        <v/>
      </c>
      <c r="I705" s="20">
        <f>B705*E705</f>
        <v/>
      </c>
    </row>
    <row r="706">
      <c r="A706" s="23" t="n">
        <v>46761</v>
      </c>
      <c r="B706" s="20">
        <f>(A706-$A$704)/365</f>
        <v/>
      </c>
      <c r="C706" s="20" t="n">
        <v>0.4408333333</v>
      </c>
      <c r="D706" s="20" t="n">
        <v>8</v>
      </c>
      <c r="E706" s="20">
        <f>C706+D706</f>
        <v/>
      </c>
      <c r="F706" s="20">
        <f>E706/(1+$B$713)^B706</f>
        <v/>
      </c>
      <c r="G706" s="20">
        <f>B706*F706</f>
        <v/>
      </c>
      <c r="H706" s="20">
        <f>E706*B706*(B706+1)/(1+$B$713)^(B706+2)</f>
        <v/>
      </c>
      <c r="I706" s="20">
        <f>B706*E706</f>
        <v/>
      </c>
    </row>
    <row r="707">
      <c r="A707" s="23" t="n">
        <v>46943</v>
      </c>
      <c r="B707" s="20">
        <f>(A707-$A$704)/365</f>
        <v/>
      </c>
      <c r="C707" s="20" t="n">
        <v>0.3923611111</v>
      </c>
      <c r="D707" s="20" t="n">
        <v>8</v>
      </c>
      <c r="E707" s="20">
        <f>C707+D707</f>
        <v/>
      </c>
      <c r="F707" s="20">
        <f>E707/(1+$B$713)^B707</f>
        <v/>
      </c>
      <c r="G707" s="20">
        <f>B707*F707</f>
        <v/>
      </c>
      <c r="H707" s="20">
        <f>E707*B707*(B707+1)/(1+$B$713)^(B707+2)</f>
        <v/>
      </c>
      <c r="I707" s="20">
        <f>B707*E707</f>
        <v/>
      </c>
    </row>
    <row r="708">
      <c r="A708" s="23" t="n">
        <v>47127</v>
      </c>
      <c r="B708" s="20">
        <f>(A708-$A$704)/365</f>
        <v/>
      </c>
      <c r="C708" s="20" t="n">
        <v>0.3338888889</v>
      </c>
      <c r="D708" s="20" t="n">
        <v>8</v>
      </c>
      <c r="E708" s="20">
        <f>C708+D708</f>
        <v/>
      </c>
      <c r="F708" s="20">
        <f>E708/(1+$B$713)^B708</f>
        <v/>
      </c>
      <c r="G708" s="20">
        <f>B708*F708</f>
        <v/>
      </c>
      <c r="H708" s="20">
        <f>E708*B708*(B708+1)/(1+$B$713)^(B708+2)</f>
        <v/>
      </c>
      <c r="I708" s="20">
        <f>B708*E708</f>
        <v/>
      </c>
    </row>
    <row r="709">
      <c r="A709" s="23" t="n">
        <v>47308</v>
      </c>
      <c r="B709" s="20">
        <f>(A709-$A$704)/365</f>
        <v/>
      </c>
      <c r="C709" s="20" t="n">
        <v>0.2654166667</v>
      </c>
      <c r="D709" s="20" t="n">
        <v>8</v>
      </c>
      <c r="E709" s="20">
        <f>C709+D709</f>
        <v/>
      </c>
      <c r="F709" s="20">
        <f>E709/(1+$B$713)^B709</f>
        <v/>
      </c>
      <c r="G709" s="20">
        <f>B709*F709</f>
        <v/>
      </c>
      <c r="H709" s="20">
        <f>E709*B709*(B709+1)/(1+$B$713)^(B709+2)</f>
        <v/>
      </c>
      <c r="I709" s="20">
        <f>B709*E709</f>
        <v/>
      </c>
    </row>
    <row r="710">
      <c r="A710" s="23" t="n">
        <v>47492</v>
      </c>
      <c r="B710" s="20">
        <f>(A710-$A$704)/365</f>
        <v/>
      </c>
      <c r="C710" s="20" t="n">
        <v>0.1869444444</v>
      </c>
      <c r="D710" s="20" t="n">
        <v>8</v>
      </c>
      <c r="E710" s="20">
        <f>C710+D710</f>
        <v/>
      </c>
      <c r="F710" s="20">
        <f>E710/(1+$B$713)^B710</f>
        <v/>
      </c>
      <c r="G710" s="20">
        <f>B710*F710</f>
        <v/>
      </c>
      <c r="H710" s="20">
        <f>E710*B710*(B710+1)/(1+$B$713)^(B710+2)</f>
        <v/>
      </c>
      <c r="I710" s="20">
        <f>B710*E710</f>
        <v/>
      </c>
    </row>
    <row r="711">
      <c r="A711" s="23" t="n">
        <v>47673</v>
      </c>
      <c r="B711" s="20">
        <f>(A711-$A$704)/365</f>
        <v/>
      </c>
      <c r="C711" s="20" t="n">
        <v>0.0984722222</v>
      </c>
      <c r="D711" s="20" t="n">
        <v>8</v>
      </c>
      <c r="E711" s="20">
        <f>C711+D711</f>
        <v/>
      </c>
      <c r="F711" s="20">
        <f>E711/(1+$B$713)^B711</f>
        <v/>
      </c>
      <c r="G711" s="20">
        <f>B711*F711</f>
        <v/>
      </c>
      <c r="H711" s="20">
        <f>E711*B711*(B711+1)/(1+$B$713)^(B711+2)</f>
        <v/>
      </c>
      <c r="I711" s="20">
        <f>B711*E711</f>
        <v/>
      </c>
    </row>
    <row r="713">
      <c r="A713" s="5" t="inlineStr">
        <is>
          <t>TIR efectiva anual</t>
        </is>
      </c>
      <c r="B713" s="21" t="n">
        <v>0.12</v>
      </c>
    </row>
    <row r="714">
      <c r="A714" t="inlineStr">
        <is>
          <t>Precio</t>
        </is>
      </c>
      <c r="B714" s="20">
        <f>SUM(F705:F711)</f>
        <v/>
      </c>
    </row>
    <row r="715">
      <c r="A715" t="inlineStr">
        <is>
          <t>Duration</t>
        </is>
      </c>
      <c r="B715" s="20">
        <f>SUM(G705:G711)/B714</f>
        <v/>
      </c>
    </row>
    <row r="716">
      <c r="A716" t="inlineStr">
        <is>
          <t>DM = D/(1+TIR)</t>
        </is>
      </c>
      <c r="B716" s="20">
        <f>B715/(1+$B$713)</f>
        <v/>
      </c>
    </row>
    <row r="717">
      <c r="A717" t="inlineStr">
        <is>
          <t>Convexidad</t>
        </is>
      </c>
      <c r="B717" s="20">
        <f>SUM(H705:H711)/B714</f>
        <v/>
      </c>
    </row>
    <row r="718">
      <c r="A718" t="inlineStr">
        <is>
          <t>PPV</t>
        </is>
      </c>
      <c r="B718" s="20">
        <f>SUM(I705:I711)/SUM(E705:E711)</f>
        <v/>
      </c>
    </row>
    <row r="721">
      <c r="A721" s="3" t="inlineStr">
        <is>
          <t>Ejercicio 99</t>
        </is>
      </c>
      <c r="B721" s="3" t="inlineStr">
        <is>
          <t>Completo · AE38 · PPV</t>
        </is>
      </c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>
      <c r="A722" s="5" t="inlineStr">
        <is>
          <t>Respuesta</t>
        </is>
      </c>
      <c r="C722" s="22">
        <f>B754</f>
        <v/>
      </c>
      <c r="D722" s="2" t="inlineStr">
        <is>
          <t>5,119</t>
        </is>
      </c>
    </row>
    <row r="723">
      <c r="A723" t="inlineStr">
        <is>
          <t>En Excel</t>
        </is>
      </c>
      <c r="C723" t="inlineStr">
        <is>
          <t>Flujo con fechas: −precio el día de compra y cada pago en su fecha → VA de cada flujo = flujo/(1+TEA)^(días/365)</t>
        </is>
      </c>
    </row>
    <row r="724" ht="45" customHeight="1">
      <c r="A724" t="inlineStr">
        <is>
          <t>Explicación</t>
        </is>
      </c>
      <c r="C724" s="8" t="inlineStr">
        <is>
          <t>TIR efectiva anual usada = 10,000 %. Precio = 66,266 · Duration = 4,3560 años · DM = 3,9600 · Convexidad = 25,664 · PPV = 5,1194. Al 09/01/2028 ya se pagaron 2 cuotas de 100/22: el saldo es 90,9091.</t>
        </is>
      </c>
    </row>
    <row r="726">
      <c r="A726" s="19" t="inlineStr">
        <is>
          <t>Fecha</t>
        </is>
      </c>
      <c r="B726" s="19" t="inlineStr">
        <is>
          <t>t (años)</t>
        </is>
      </c>
      <c r="C726" s="19" t="inlineStr">
        <is>
          <t>Renta</t>
        </is>
      </c>
      <c r="D726" s="19" t="inlineStr">
        <is>
          <t>Amort.</t>
        </is>
      </c>
      <c r="E726" s="19" t="inlineStr">
        <is>
          <t>Flujo</t>
        </is>
      </c>
      <c r="F726" s="19" t="inlineStr">
        <is>
          <t>VA</t>
        </is>
      </c>
      <c r="G726" s="19" t="inlineStr">
        <is>
          <t>t · VA</t>
        </is>
      </c>
      <c r="H726" s="19" t="inlineStr">
        <is>
          <t>Convexidad</t>
        </is>
      </c>
      <c r="I726" s="19" t="inlineStr">
        <is>
          <t>t · Flujo</t>
        </is>
      </c>
    </row>
    <row r="727">
      <c r="A727" s="23" t="n">
        <v>46761</v>
      </c>
      <c r="B727" t="n">
        <v>0</v>
      </c>
      <c r="E727" t="n">
        <v>0</v>
      </c>
    </row>
    <row r="728">
      <c r="A728" s="23" t="n">
        <v>46943</v>
      </c>
      <c r="B728" s="20">
        <f>(A728-$A$727)/365</f>
        <v/>
      </c>
      <c r="C728" s="20" t="n">
        <v>0.891729798</v>
      </c>
      <c r="D728" s="20" t="n">
        <v>4.5454545455</v>
      </c>
      <c r="E728" s="20">
        <f>C728+D728</f>
        <v/>
      </c>
      <c r="F728" s="20">
        <f>E728/(1+$B$749)^B728</f>
        <v/>
      </c>
      <c r="G728" s="20">
        <f>B728*F728</f>
        <v/>
      </c>
      <c r="H728" s="20">
        <f>E728*B728*(B728+1)/(1+$B$749)^(B728+2)</f>
        <v/>
      </c>
      <c r="I728" s="20">
        <f>B728*E728</f>
        <v/>
      </c>
    </row>
    <row r="729">
      <c r="A729" s="23" t="n">
        <v>47127</v>
      </c>
      <c r="B729" s="20">
        <f>(A729-$A$727)/365</f>
        <v/>
      </c>
      <c r="C729" s="20" t="n">
        <v>0.9011205808</v>
      </c>
      <c r="D729" s="20" t="n">
        <v>4.5454545455</v>
      </c>
      <c r="E729" s="20">
        <f>C729+D729</f>
        <v/>
      </c>
      <c r="F729" s="20">
        <f>E729/(1+$B$749)^B729</f>
        <v/>
      </c>
      <c r="G729" s="20">
        <f>B729*F729</f>
        <v/>
      </c>
      <c r="H729" s="20">
        <f>E729*B729*(B729+1)/(1+$B$749)^(B729+2)</f>
        <v/>
      </c>
      <c r="I729" s="20">
        <f>B729*E729</f>
        <v/>
      </c>
    </row>
    <row r="730">
      <c r="A730" s="23" t="n">
        <v>47308</v>
      </c>
      <c r="B730" s="20">
        <f>(A730-$A$727)/365</f>
        <v/>
      </c>
      <c r="C730" s="20" t="n">
        <v>0.9048295455000001</v>
      </c>
      <c r="D730" s="20" t="n">
        <v>4.5454545455</v>
      </c>
      <c r="E730" s="20">
        <f>C730+D730</f>
        <v/>
      </c>
      <c r="F730" s="20">
        <f>E730/(1+$B$749)^B730</f>
        <v/>
      </c>
      <c r="G730" s="20">
        <f>B730*F730</f>
        <v/>
      </c>
      <c r="H730" s="20">
        <f>E730*B730*(B730+1)/(1+$B$749)^(B730+2)</f>
        <v/>
      </c>
      <c r="I730" s="20">
        <f>B730*E730</f>
        <v/>
      </c>
    </row>
    <row r="731">
      <c r="A731" s="23" t="n">
        <v>47492</v>
      </c>
      <c r="B731" s="20">
        <f>(A731-$A$727)/365</f>
        <v/>
      </c>
      <c r="C731" s="20" t="n">
        <v>0.9028566919</v>
      </c>
      <c r="D731" s="20" t="n">
        <v>4.5454545455</v>
      </c>
      <c r="E731" s="20">
        <f>C731+D731</f>
        <v/>
      </c>
      <c r="F731" s="20">
        <f>E731/(1+$B$749)^B731</f>
        <v/>
      </c>
      <c r="G731" s="20">
        <f>B731*F731</f>
        <v/>
      </c>
      <c r="H731" s="20">
        <f>E731*B731*(B731+1)/(1+$B$749)^(B731+2)</f>
        <v/>
      </c>
      <c r="I731" s="20">
        <f>B731*E731</f>
        <v/>
      </c>
    </row>
    <row r="732">
      <c r="A732" s="23" t="n">
        <v>47673</v>
      </c>
      <c r="B732" s="20">
        <f>(A732-$A$727)/365</f>
        <v/>
      </c>
      <c r="C732" s="20" t="n">
        <v>0.8952020201999999</v>
      </c>
      <c r="D732" s="20" t="n">
        <v>4.5454545455</v>
      </c>
      <c r="E732" s="20">
        <f>C732+D732</f>
        <v/>
      </c>
      <c r="F732" s="20">
        <f>E732/(1+$B$749)^B732</f>
        <v/>
      </c>
      <c r="G732" s="20">
        <f>B732*F732</f>
        <v/>
      </c>
      <c r="H732" s="20">
        <f>E732*B732*(B732+1)/(1+$B$749)^(B732+2)</f>
        <v/>
      </c>
      <c r="I732" s="20">
        <f>B732*E732</f>
        <v/>
      </c>
    </row>
    <row r="733">
      <c r="A733" s="23" t="n">
        <v>47857</v>
      </c>
      <c r="B733" s="20">
        <f>(A733-$A$727)/365</f>
        <v/>
      </c>
      <c r="C733" s="20" t="n">
        <v>0.8818655303</v>
      </c>
      <c r="D733" s="20" t="n">
        <v>4.5454545455</v>
      </c>
      <c r="E733" s="20">
        <f>C733+D733</f>
        <v/>
      </c>
      <c r="F733" s="20">
        <f>E733/(1+$B$749)^B733</f>
        <v/>
      </c>
      <c r="G733" s="20">
        <f>B733*F733</f>
        <v/>
      </c>
      <c r="H733" s="20">
        <f>E733*B733*(B733+1)/(1+$B$749)^(B733+2)</f>
        <v/>
      </c>
      <c r="I733" s="20">
        <f>B733*E733</f>
        <v/>
      </c>
    </row>
    <row r="734">
      <c r="A734" s="23" t="n">
        <v>48038</v>
      </c>
      <c r="B734" s="20">
        <f>(A734-$A$727)/365</f>
        <v/>
      </c>
      <c r="C734" s="20" t="n">
        <v>0.8628472222</v>
      </c>
      <c r="D734" s="20" t="n">
        <v>4.5454545455</v>
      </c>
      <c r="E734" s="20">
        <f>C734+D734</f>
        <v/>
      </c>
      <c r="F734" s="20">
        <f>E734/(1+$B$749)^B734</f>
        <v/>
      </c>
      <c r="G734" s="20">
        <f>B734*F734</f>
        <v/>
      </c>
      <c r="H734" s="20">
        <f>E734*B734*(B734+1)/(1+$B$749)^(B734+2)</f>
        <v/>
      </c>
      <c r="I734" s="20">
        <f>B734*E734</f>
        <v/>
      </c>
    </row>
    <row r="735">
      <c r="A735" s="23" t="n">
        <v>48222</v>
      </c>
      <c r="B735" s="20">
        <f>(A735-$A$727)/365</f>
        <v/>
      </c>
      <c r="C735" s="20" t="n">
        <v>0.838147096</v>
      </c>
      <c r="D735" s="20" t="n">
        <v>4.5454545455</v>
      </c>
      <c r="E735" s="20">
        <f>C735+D735</f>
        <v/>
      </c>
      <c r="F735" s="20">
        <f>E735/(1+$B$749)^B735</f>
        <v/>
      </c>
      <c r="G735" s="20">
        <f>B735*F735</f>
        <v/>
      </c>
      <c r="H735" s="20">
        <f>E735*B735*(B735+1)/(1+$B$749)^(B735+2)</f>
        <v/>
      </c>
      <c r="I735" s="20">
        <f>B735*E735</f>
        <v/>
      </c>
    </row>
    <row r="736">
      <c r="A736" s="23" t="n">
        <v>48404</v>
      </c>
      <c r="B736" s="20">
        <f>(A736-$A$727)/365</f>
        <v/>
      </c>
      <c r="C736" s="20" t="n">
        <v>0.8077651514999999</v>
      </c>
      <c r="D736" s="20" t="n">
        <v>4.5454545455</v>
      </c>
      <c r="E736" s="20">
        <f>C736+D736</f>
        <v/>
      </c>
      <c r="F736" s="20">
        <f>E736/(1+$B$749)^B736</f>
        <v/>
      </c>
      <c r="G736" s="20">
        <f>B736*F736</f>
        <v/>
      </c>
      <c r="H736" s="20">
        <f>E736*B736*(B736+1)/(1+$B$749)^(B736+2)</f>
        <v/>
      </c>
      <c r="I736" s="20">
        <f>B736*E736</f>
        <v/>
      </c>
    </row>
    <row r="737">
      <c r="A737" s="23" t="n">
        <v>48588</v>
      </c>
      <c r="B737" s="20">
        <f>(A737-$A$727)/365</f>
        <v/>
      </c>
      <c r="C737" s="20" t="n">
        <v>0.7717013889</v>
      </c>
      <c r="D737" s="20" t="n">
        <v>4.5454545455</v>
      </c>
      <c r="E737" s="20">
        <f>C737+D737</f>
        <v/>
      </c>
      <c r="F737" s="20">
        <f>E737/(1+$B$749)^B737</f>
        <v/>
      </c>
      <c r="G737" s="20">
        <f>B737*F737</f>
        <v/>
      </c>
      <c r="H737" s="20">
        <f>E737*B737*(B737+1)/(1+$B$749)^(B737+2)</f>
        <v/>
      </c>
      <c r="I737" s="20">
        <f>B737*E737</f>
        <v/>
      </c>
    </row>
    <row r="738">
      <c r="A738" s="23" t="n">
        <v>48769</v>
      </c>
      <c r="B738" s="20">
        <f>(A738-$A$727)/365</f>
        <v/>
      </c>
      <c r="C738" s="20" t="n">
        <v>0.7299558081</v>
      </c>
      <c r="D738" s="20" t="n">
        <v>4.5454545455</v>
      </c>
      <c r="E738" s="20">
        <f>C738+D738</f>
        <v/>
      </c>
      <c r="F738" s="20">
        <f>E738/(1+$B$749)^B738</f>
        <v/>
      </c>
      <c r="G738" s="20">
        <f>B738*F738</f>
        <v/>
      </c>
      <c r="H738" s="20">
        <f>E738*B738*(B738+1)/(1+$B$749)^(B738+2)</f>
        <v/>
      </c>
      <c r="I738" s="20">
        <f>B738*E738</f>
        <v/>
      </c>
    </row>
    <row r="739">
      <c r="A739" s="23" t="n">
        <v>48953</v>
      </c>
      <c r="B739" s="20">
        <f>(A739-$A$727)/365</f>
        <v/>
      </c>
      <c r="C739" s="20" t="n">
        <v>0.6825284091</v>
      </c>
      <c r="D739" s="20" t="n">
        <v>4.5454545455</v>
      </c>
      <c r="E739" s="20">
        <f>C739+D739</f>
        <v/>
      </c>
      <c r="F739" s="20">
        <f>E739/(1+$B$749)^B739</f>
        <v/>
      </c>
      <c r="G739" s="20">
        <f>B739*F739</f>
        <v/>
      </c>
      <c r="H739" s="20">
        <f>E739*B739*(B739+1)/(1+$B$749)^(B739+2)</f>
        <v/>
      </c>
      <c r="I739" s="20">
        <f>B739*E739</f>
        <v/>
      </c>
    </row>
    <row r="740">
      <c r="A740" s="23" t="n">
        <v>49134</v>
      </c>
      <c r="B740" s="20">
        <f>(A740-$A$727)/365</f>
        <v/>
      </c>
      <c r="C740" s="20" t="n">
        <v>0.6294191919</v>
      </c>
      <c r="D740" s="20" t="n">
        <v>4.5454545455</v>
      </c>
      <c r="E740" s="20">
        <f>C740+D740</f>
        <v/>
      </c>
      <c r="F740" s="20">
        <f>E740/(1+$B$749)^B740</f>
        <v/>
      </c>
      <c r="G740" s="20">
        <f>B740*F740</f>
        <v/>
      </c>
      <c r="H740" s="20">
        <f>E740*B740*(B740+1)/(1+$B$749)^(B740+2)</f>
        <v/>
      </c>
      <c r="I740" s="20">
        <f>B740*E740</f>
        <v/>
      </c>
    </row>
    <row r="741">
      <c r="A741" s="23" t="n">
        <v>49318</v>
      </c>
      <c r="B741" s="20">
        <f>(A741-$A$727)/365</f>
        <v/>
      </c>
      <c r="C741" s="20" t="n">
        <v>0.5706281566</v>
      </c>
      <c r="D741" s="20" t="n">
        <v>4.5454545455</v>
      </c>
      <c r="E741" s="20">
        <f>C741+D741</f>
        <v/>
      </c>
      <c r="F741" s="20">
        <f>E741/(1+$B$749)^B741</f>
        <v/>
      </c>
      <c r="G741" s="20">
        <f>B741*F741</f>
        <v/>
      </c>
      <c r="H741" s="20">
        <f>E741*B741*(B741+1)/(1+$B$749)^(B741+2)</f>
        <v/>
      </c>
      <c r="I741" s="20">
        <f>B741*E741</f>
        <v/>
      </c>
    </row>
    <row r="742">
      <c r="A742" s="23" t="n">
        <v>49499</v>
      </c>
      <c r="B742" s="20">
        <f>(A742-$A$727)/365</f>
        <v/>
      </c>
      <c r="C742" s="20" t="n">
        <v>0.506155303</v>
      </c>
      <c r="D742" s="20" t="n">
        <v>4.5454545455</v>
      </c>
      <c r="E742" s="20">
        <f>C742+D742</f>
        <v/>
      </c>
      <c r="F742" s="20">
        <f>E742/(1+$B$749)^B742</f>
        <v/>
      </c>
      <c r="G742" s="20">
        <f>B742*F742</f>
        <v/>
      </c>
      <c r="H742" s="20">
        <f>E742*B742*(B742+1)/(1+$B$749)^(B742+2)</f>
        <v/>
      </c>
      <c r="I742" s="20">
        <f>B742*E742</f>
        <v/>
      </c>
    </row>
    <row r="743">
      <c r="A743" s="23" t="n">
        <v>49683</v>
      </c>
      <c r="B743" s="20">
        <f>(A743-$A$727)/365</f>
        <v/>
      </c>
      <c r="C743" s="20" t="n">
        <v>0.4360006313</v>
      </c>
      <c r="D743" s="20" t="n">
        <v>4.5454545455</v>
      </c>
      <c r="E743" s="20">
        <f>C743+D743</f>
        <v/>
      </c>
      <c r="F743" s="20">
        <f>E743/(1+$B$749)^B743</f>
        <v/>
      </c>
      <c r="G743" s="20">
        <f>B743*F743</f>
        <v/>
      </c>
      <c r="H743" s="20">
        <f>E743*B743*(B743+1)/(1+$B$749)^(B743+2)</f>
        <v/>
      </c>
      <c r="I743" s="20">
        <f>B743*E743</f>
        <v/>
      </c>
    </row>
    <row r="744">
      <c r="A744" s="23" t="n">
        <v>49865</v>
      </c>
      <c r="B744" s="20">
        <f>(A744-$A$727)/365</f>
        <v/>
      </c>
      <c r="C744" s="20" t="n">
        <v>0.3601641414</v>
      </c>
      <c r="D744" s="20" t="n">
        <v>4.5454545455</v>
      </c>
      <c r="E744" s="20">
        <f>C744+D744</f>
        <v/>
      </c>
      <c r="F744" s="20">
        <f>E744/(1+$B$749)^B744</f>
        <v/>
      </c>
      <c r="G744" s="20">
        <f>B744*F744</f>
        <v/>
      </c>
      <c r="H744" s="20">
        <f>E744*B744*(B744+1)/(1+$B$749)^(B744+2)</f>
        <v/>
      </c>
      <c r="I744" s="20">
        <f>B744*E744</f>
        <v/>
      </c>
    </row>
    <row r="745">
      <c r="A745" s="23" t="n">
        <v>50049</v>
      </c>
      <c r="B745" s="20">
        <f>(A745-$A$727)/365</f>
        <v/>
      </c>
      <c r="C745" s="20" t="n">
        <v>0.2786458333</v>
      </c>
      <c r="D745" s="20" t="n">
        <v>4.5454545455</v>
      </c>
      <c r="E745" s="20">
        <f>C745+D745</f>
        <v/>
      </c>
      <c r="F745" s="20">
        <f>E745/(1+$B$749)^B745</f>
        <v/>
      </c>
      <c r="G745" s="20">
        <f>B745*F745</f>
        <v/>
      </c>
      <c r="H745" s="20">
        <f>E745*B745*(B745+1)/(1+$B$749)^(B745+2)</f>
        <v/>
      </c>
      <c r="I745" s="20">
        <f>B745*E745</f>
        <v/>
      </c>
    </row>
    <row r="746">
      <c r="A746" s="23" t="n">
        <v>50230</v>
      </c>
      <c r="B746" s="20">
        <f>(A746-$A$727)/365</f>
        <v/>
      </c>
      <c r="C746" s="20" t="n">
        <v>0.1914457071</v>
      </c>
      <c r="D746" s="20" t="n">
        <v>4.5454545455</v>
      </c>
      <c r="E746" s="20">
        <f>C746+D746</f>
        <v/>
      </c>
      <c r="F746" s="20">
        <f>E746/(1+$B$749)^B746</f>
        <v/>
      </c>
      <c r="G746" s="20">
        <f>B746*F746</f>
        <v/>
      </c>
      <c r="H746" s="20">
        <f>E746*B746*(B746+1)/(1+$B$749)^(B746+2)</f>
        <v/>
      </c>
      <c r="I746" s="20">
        <f>B746*E746</f>
        <v/>
      </c>
    </row>
    <row r="747">
      <c r="A747" s="23" t="n">
        <v>50414</v>
      </c>
      <c r="B747" s="20">
        <f>(A747-$A$727)/365</f>
        <v/>
      </c>
      <c r="C747" s="20" t="n">
        <v>0.09856376259999999</v>
      </c>
      <c r="D747" s="20" t="n">
        <v>4.5454545455</v>
      </c>
      <c r="E747" s="20">
        <f>C747+D747</f>
        <v/>
      </c>
      <c r="F747" s="20">
        <f>E747/(1+$B$749)^B747</f>
        <v/>
      </c>
      <c r="G747" s="20">
        <f>B747*F747</f>
        <v/>
      </c>
      <c r="H747" s="20">
        <f>E747*B747*(B747+1)/(1+$B$749)^(B747+2)</f>
        <v/>
      </c>
      <c r="I747" s="20">
        <f>B747*E747</f>
        <v/>
      </c>
    </row>
    <row r="749">
      <c r="A749" s="5" t="inlineStr">
        <is>
          <t>TIR efectiva anual</t>
        </is>
      </c>
      <c r="B749" s="21" t="n">
        <v>0.1</v>
      </c>
    </row>
    <row r="750">
      <c r="A750" t="inlineStr">
        <is>
          <t>Precio</t>
        </is>
      </c>
      <c r="B750" s="20">
        <f>SUM(F728:F747)</f>
        <v/>
      </c>
    </row>
    <row r="751">
      <c r="A751" t="inlineStr">
        <is>
          <t>Duration</t>
        </is>
      </c>
      <c r="B751" s="20">
        <f>SUM(G728:G747)/B750</f>
        <v/>
      </c>
    </row>
    <row r="752">
      <c r="A752" t="inlineStr">
        <is>
          <t>DM = D/(1+TIR)</t>
        </is>
      </c>
      <c r="B752" s="20">
        <f>B751/(1+$B$749)</f>
        <v/>
      </c>
    </row>
    <row r="753">
      <c r="A753" t="inlineStr">
        <is>
          <t>Convexidad</t>
        </is>
      </c>
      <c r="B753" s="20">
        <f>SUM(H728:H747)/B750</f>
        <v/>
      </c>
    </row>
    <row r="754">
      <c r="A754" t="inlineStr">
        <is>
          <t>PPV</t>
        </is>
      </c>
      <c r="B754" s="20">
        <f>SUM(I728:I747)/SUM(E728:E747)</f>
        <v/>
      </c>
    </row>
    <row r="757">
      <c r="A757" s="3" t="inlineStr">
        <is>
          <t>Ejercicio 100</t>
        </is>
      </c>
      <c r="B757" s="3" t="inlineStr">
        <is>
          <t>Completo · GD41 · precio</t>
        </is>
      </c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>
      <c r="A758" s="5" t="inlineStr">
        <is>
          <t>Respuesta</t>
        </is>
      </c>
      <c r="C758" s="22">
        <f>B790</f>
        <v/>
      </c>
      <c r="D758" s="2" t="inlineStr">
        <is>
          <t>64,13</t>
        </is>
      </c>
    </row>
    <row r="759">
      <c r="A759" t="inlineStr">
        <is>
          <t>En Excel</t>
        </is>
      </c>
      <c r="C759" t="inlineStr">
        <is>
          <t>Flujo con fechas: −precio el día de compra y cada pago en su fecha → VA de cada flujo = flujo/(1+TEA)^(días/365)</t>
        </is>
      </c>
    </row>
    <row r="760" ht="45" customHeight="1">
      <c r="A760" t="inlineStr">
        <is>
          <t>Explicación</t>
        </is>
      </c>
      <c r="C760" s="8" t="inlineStr">
        <is>
          <t>TIR efectiva anual usada = 9,000 %. Precio = 64,131 · Duration = 5,0543 años · DM = 4,6370 · Convexidad = 34,927 · PPV = 6,0360. Al 09/07/2029 ya se pagaron 4 cuotas de 100/28: el saldo es 85,7143.</t>
        </is>
      </c>
    </row>
    <row r="762">
      <c r="A762" s="19" t="inlineStr">
        <is>
          <t>Fecha</t>
        </is>
      </c>
      <c r="B762" s="19" t="inlineStr">
        <is>
          <t>t (años)</t>
        </is>
      </c>
      <c r="C762" s="19" t="inlineStr">
        <is>
          <t>Renta</t>
        </is>
      </c>
      <c r="D762" s="19" t="inlineStr">
        <is>
          <t>Amort.</t>
        </is>
      </c>
      <c r="E762" s="19" t="inlineStr">
        <is>
          <t>Flujo</t>
        </is>
      </c>
      <c r="F762" s="19" t="inlineStr">
        <is>
          <t>VA</t>
        </is>
      </c>
      <c r="G762" s="19" t="inlineStr">
        <is>
          <t>t · VA</t>
        </is>
      </c>
      <c r="H762" s="19" t="inlineStr">
        <is>
          <t>Convexidad</t>
        </is>
      </c>
      <c r="I762" s="19" t="inlineStr">
        <is>
          <t>t · Flujo</t>
        </is>
      </c>
    </row>
    <row r="763">
      <c r="A763" s="23" t="n">
        <v>47308</v>
      </c>
      <c r="B763" t="n">
        <v>0</v>
      </c>
      <c r="E763" t="n">
        <v>0</v>
      </c>
    </row>
    <row r="764">
      <c r="A764" s="23" t="n">
        <v>47492</v>
      </c>
      <c r="B764" s="20">
        <f>(A764-$A$763)/365</f>
        <v/>
      </c>
      <c r="C764" s="20" t="n">
        <v>1.0014880952</v>
      </c>
      <c r="D764" s="20" t="n">
        <v>3.5714285714</v>
      </c>
      <c r="E764" s="20">
        <f>C764+D764</f>
        <v/>
      </c>
      <c r="F764" s="20">
        <f>E764/(1+$B$789)^B764</f>
        <v/>
      </c>
      <c r="G764" s="20">
        <f>B764*F764</f>
        <v/>
      </c>
      <c r="H764" s="20">
        <f>E764*B764*(B764+1)/(1+$B$789)^(B764+2)</f>
        <v/>
      </c>
      <c r="I764" s="20">
        <f>B764*E764</f>
        <v/>
      </c>
    </row>
    <row r="765">
      <c r="A765" s="23" t="n">
        <v>47673</v>
      </c>
      <c r="B765" s="20">
        <f>(A765-$A$763)/365</f>
        <v/>
      </c>
      <c r="C765" s="20" t="n">
        <v>1.0110987103</v>
      </c>
      <c r="D765" s="20" t="n">
        <v>3.5714285714</v>
      </c>
      <c r="E765" s="20">
        <f>C765+D765</f>
        <v/>
      </c>
      <c r="F765" s="20">
        <f>E765/(1+$B$789)^B765</f>
        <v/>
      </c>
      <c r="G765" s="20">
        <f>B765*F765</f>
        <v/>
      </c>
      <c r="H765" s="20">
        <f>E765*B765*(B765+1)/(1+$B$789)^(B765+2)</f>
        <v/>
      </c>
      <c r="I765" s="20">
        <f>B765*E765</f>
        <v/>
      </c>
    </row>
    <row r="766">
      <c r="A766" s="23" t="n">
        <v>47857</v>
      </c>
      <c r="B766" s="20">
        <f>(A766-$A$763)/365</f>
        <v/>
      </c>
      <c r="C766" s="20" t="n">
        <v>1.0162450397</v>
      </c>
      <c r="D766" s="20" t="n">
        <v>3.5714285714</v>
      </c>
      <c r="E766" s="20">
        <f>C766+D766</f>
        <v/>
      </c>
      <c r="F766" s="20">
        <f>E766/(1+$B$789)^B766</f>
        <v/>
      </c>
      <c r="G766" s="20">
        <f>B766*F766</f>
        <v/>
      </c>
      <c r="H766" s="20">
        <f>E766*B766*(B766+1)/(1+$B$789)^(B766+2)</f>
        <v/>
      </c>
      <c r="I766" s="20">
        <f>B766*E766</f>
        <v/>
      </c>
    </row>
    <row r="767">
      <c r="A767" s="23" t="n">
        <v>48038</v>
      </c>
      <c r="B767" s="20">
        <f>(A767-$A$763)/365</f>
        <v/>
      </c>
      <c r="C767" s="20" t="n">
        <v>1.0169270833</v>
      </c>
      <c r="D767" s="20" t="n">
        <v>3.5714285714</v>
      </c>
      <c r="E767" s="20">
        <f>C767+D767</f>
        <v/>
      </c>
      <c r="F767" s="20">
        <f>E767/(1+$B$789)^B767</f>
        <v/>
      </c>
      <c r="G767" s="20">
        <f>B767*F767</f>
        <v/>
      </c>
      <c r="H767" s="20">
        <f>E767*B767*(B767+1)/(1+$B$789)^(B767+2)</f>
        <v/>
      </c>
      <c r="I767" s="20">
        <f>B767*E767</f>
        <v/>
      </c>
    </row>
    <row r="768">
      <c r="A768" s="23" t="n">
        <v>48222</v>
      </c>
      <c r="B768" s="20">
        <f>(A768-$A$763)/365</f>
        <v/>
      </c>
      <c r="C768" s="20" t="n">
        <v>1.0131448413</v>
      </c>
      <c r="D768" s="20" t="n">
        <v>3.5714285714</v>
      </c>
      <c r="E768" s="20">
        <f>C768+D768</f>
        <v/>
      </c>
      <c r="F768" s="20">
        <f>E768/(1+$B$789)^B768</f>
        <v/>
      </c>
      <c r="G768" s="20">
        <f>B768*F768</f>
        <v/>
      </c>
      <c r="H768" s="20">
        <f>E768*B768*(B768+1)/(1+$B$789)^(B768+2)</f>
        <v/>
      </c>
      <c r="I768" s="20">
        <f>B768*E768</f>
        <v/>
      </c>
    </row>
    <row r="769">
      <c r="A769" s="23" t="n">
        <v>48404</v>
      </c>
      <c r="B769" s="20">
        <f>(A769-$A$763)/365</f>
        <v/>
      </c>
      <c r="C769" s="20" t="n">
        <v>1.0048983135</v>
      </c>
      <c r="D769" s="20" t="n">
        <v>3.5714285714</v>
      </c>
      <c r="E769" s="20">
        <f>C769+D769</f>
        <v/>
      </c>
      <c r="F769" s="20">
        <f>E769/(1+$B$789)^B769</f>
        <v/>
      </c>
      <c r="G769" s="20">
        <f>B769*F769</f>
        <v/>
      </c>
      <c r="H769" s="20">
        <f>E769*B769*(B769+1)/(1+$B$789)^(B769+2)</f>
        <v/>
      </c>
      <c r="I769" s="20">
        <f>B769*E769</f>
        <v/>
      </c>
    </row>
    <row r="770">
      <c r="A770" s="23" t="n">
        <v>48588</v>
      </c>
      <c r="B770" s="20">
        <f>(A770-$A$763)/365</f>
        <v/>
      </c>
      <c r="C770" s="20" t="n">
        <v>0.9921875</v>
      </c>
      <c r="D770" s="20" t="n">
        <v>3.5714285714</v>
      </c>
      <c r="E770" s="20">
        <f>C770+D770</f>
        <v/>
      </c>
      <c r="F770" s="20">
        <f>E770/(1+$B$789)^B770</f>
        <v/>
      </c>
      <c r="G770" s="20">
        <f>B770*F770</f>
        <v/>
      </c>
      <c r="H770" s="20">
        <f>E770*B770*(B770+1)/(1+$B$789)^(B770+2)</f>
        <v/>
      </c>
      <c r="I770" s="20">
        <f>B770*E770</f>
        <v/>
      </c>
    </row>
    <row r="771">
      <c r="A771" s="23" t="n">
        <v>48769</v>
      </c>
      <c r="B771" s="20">
        <f>(A771-$A$763)/365</f>
        <v/>
      </c>
      <c r="C771" s="20" t="n">
        <v>0.9750124008</v>
      </c>
      <c r="D771" s="20" t="n">
        <v>3.5714285714</v>
      </c>
      <c r="E771" s="20">
        <f>C771+D771</f>
        <v/>
      </c>
      <c r="F771" s="20">
        <f>E771/(1+$B$789)^B771</f>
        <v/>
      </c>
      <c r="G771" s="20">
        <f>B771*F771</f>
        <v/>
      </c>
      <c r="H771" s="20">
        <f>E771*B771*(B771+1)/(1+$B$789)^(B771+2)</f>
        <v/>
      </c>
      <c r="I771" s="20">
        <f>B771*E771</f>
        <v/>
      </c>
    </row>
    <row r="772">
      <c r="A772" s="23" t="n">
        <v>48953</v>
      </c>
      <c r="B772" s="20">
        <f>(A772-$A$763)/365</f>
        <v/>
      </c>
      <c r="C772" s="20" t="n">
        <v>0.9533730159</v>
      </c>
      <c r="D772" s="20" t="n">
        <v>3.5714285714</v>
      </c>
      <c r="E772" s="20">
        <f>C772+D772</f>
        <v/>
      </c>
      <c r="F772" s="20">
        <f>E772/(1+$B$789)^B772</f>
        <v/>
      </c>
      <c r="G772" s="20">
        <f>B772*F772</f>
        <v/>
      </c>
      <c r="H772" s="20">
        <f>E772*B772*(B772+1)/(1+$B$789)^(B772+2)</f>
        <v/>
      </c>
      <c r="I772" s="20">
        <f>B772*E772</f>
        <v/>
      </c>
    </row>
    <row r="773">
      <c r="A773" s="23" t="n">
        <v>49134</v>
      </c>
      <c r="B773" s="20">
        <f>(A773-$A$763)/365</f>
        <v/>
      </c>
      <c r="C773" s="20" t="n">
        <v>0.9272693452</v>
      </c>
      <c r="D773" s="20" t="n">
        <v>3.5714285714</v>
      </c>
      <c r="E773" s="20">
        <f>C773+D773</f>
        <v/>
      </c>
      <c r="F773" s="20">
        <f>E773/(1+$B$789)^B773</f>
        <v/>
      </c>
      <c r="G773" s="20">
        <f>B773*F773</f>
        <v/>
      </c>
      <c r="H773" s="20">
        <f>E773*B773*(B773+1)/(1+$B$789)^(B773+2)</f>
        <v/>
      </c>
      <c r="I773" s="20">
        <f>B773*E773</f>
        <v/>
      </c>
    </row>
    <row r="774">
      <c r="A774" s="23" t="n">
        <v>49318</v>
      </c>
      <c r="B774" s="20">
        <f>(A774-$A$763)/365</f>
        <v/>
      </c>
      <c r="C774" s="20" t="n">
        <v>0.8967013889</v>
      </c>
      <c r="D774" s="20" t="n">
        <v>3.5714285714</v>
      </c>
      <c r="E774" s="20">
        <f>C774+D774</f>
        <v/>
      </c>
      <c r="F774" s="20">
        <f>E774/(1+$B$789)^B774</f>
        <v/>
      </c>
      <c r="G774" s="20">
        <f>B774*F774</f>
        <v/>
      </c>
      <c r="H774" s="20">
        <f>E774*B774*(B774+1)/(1+$B$789)^(B774+2)</f>
        <v/>
      </c>
      <c r="I774" s="20">
        <f>B774*E774</f>
        <v/>
      </c>
    </row>
    <row r="775">
      <c r="A775" s="23" t="n">
        <v>49499</v>
      </c>
      <c r="B775" s="20">
        <f>(A775-$A$763)/365</f>
        <v/>
      </c>
      <c r="C775" s="20" t="n">
        <v>0.8616691468</v>
      </c>
      <c r="D775" s="20" t="n">
        <v>3.5714285714</v>
      </c>
      <c r="E775" s="20">
        <f>C775+D775</f>
        <v/>
      </c>
      <c r="F775" s="20">
        <f>E775/(1+$B$789)^B775</f>
        <v/>
      </c>
      <c r="G775" s="20">
        <f>B775*F775</f>
        <v/>
      </c>
      <c r="H775" s="20">
        <f>E775*B775*(B775+1)/(1+$B$789)^(B775+2)</f>
        <v/>
      </c>
      <c r="I775" s="20">
        <f>B775*E775</f>
        <v/>
      </c>
    </row>
    <row r="776">
      <c r="A776" s="23" t="n">
        <v>49683</v>
      </c>
      <c r="B776" s="20">
        <f>(A776-$A$763)/365</f>
        <v/>
      </c>
      <c r="C776" s="20" t="n">
        <v>0.822172619</v>
      </c>
      <c r="D776" s="20" t="n">
        <v>3.5714285714</v>
      </c>
      <c r="E776" s="20">
        <f>C776+D776</f>
        <v/>
      </c>
      <c r="F776" s="20">
        <f>E776/(1+$B$789)^B776</f>
        <v/>
      </c>
      <c r="G776" s="20">
        <f>B776*F776</f>
        <v/>
      </c>
      <c r="H776" s="20">
        <f>E776*B776*(B776+1)/(1+$B$789)^(B776+2)</f>
        <v/>
      </c>
      <c r="I776" s="20">
        <f>B776*E776</f>
        <v/>
      </c>
    </row>
    <row r="777">
      <c r="A777" s="23" t="n">
        <v>49865</v>
      </c>
      <c r="B777" s="20">
        <f>(A777-$A$763)/365</f>
        <v/>
      </c>
      <c r="C777" s="20" t="n">
        <v>0.7782118056</v>
      </c>
      <c r="D777" s="20" t="n">
        <v>3.5714285714</v>
      </c>
      <c r="E777" s="20">
        <f>C777+D777</f>
        <v/>
      </c>
      <c r="F777" s="20">
        <f>E777/(1+$B$789)^B777</f>
        <v/>
      </c>
      <c r="G777" s="20">
        <f>B777*F777</f>
        <v/>
      </c>
      <c r="H777" s="20">
        <f>E777*B777*(B777+1)/(1+$B$789)^(B777+2)</f>
        <v/>
      </c>
      <c r="I777" s="20">
        <f>B777*E777</f>
        <v/>
      </c>
    </row>
    <row r="778">
      <c r="A778" s="23" t="n">
        <v>50049</v>
      </c>
      <c r="B778" s="20">
        <f>(A778-$A$763)/365</f>
        <v/>
      </c>
      <c r="C778" s="20" t="n">
        <v>0.7297867063</v>
      </c>
      <c r="D778" s="20" t="n">
        <v>3.5714285714</v>
      </c>
      <c r="E778" s="20">
        <f>C778+D778</f>
        <v/>
      </c>
      <c r="F778" s="20">
        <f>E778/(1+$B$789)^B778</f>
        <v/>
      </c>
      <c r="G778" s="20">
        <f>B778*F778</f>
        <v/>
      </c>
      <c r="H778" s="20">
        <f>E778*B778*(B778+1)/(1+$B$789)^(B778+2)</f>
        <v/>
      </c>
      <c r="I778" s="20">
        <f>B778*E778</f>
        <v/>
      </c>
    </row>
    <row r="779">
      <c r="A779" s="23" t="n">
        <v>50230</v>
      </c>
      <c r="B779" s="20">
        <f>(A779-$A$763)/365</f>
        <v/>
      </c>
      <c r="C779" s="20" t="n">
        <v>0.6768973214</v>
      </c>
      <c r="D779" s="20" t="n">
        <v>3.5714285714</v>
      </c>
      <c r="E779" s="20">
        <f>C779+D779</f>
        <v/>
      </c>
      <c r="F779" s="20">
        <f>E779/(1+$B$789)^B779</f>
        <v/>
      </c>
      <c r="G779" s="20">
        <f>B779*F779</f>
        <v/>
      </c>
      <c r="H779" s="20">
        <f>E779*B779*(B779+1)/(1+$B$789)^(B779+2)</f>
        <v/>
      </c>
      <c r="I779" s="20">
        <f>B779*E779</f>
        <v/>
      </c>
    </row>
    <row r="780">
      <c r="A780" s="23" t="n">
        <v>50414</v>
      </c>
      <c r="B780" s="20">
        <f>(A780-$A$763)/365</f>
        <v/>
      </c>
      <c r="C780" s="20" t="n">
        <v>0.6195436508</v>
      </c>
      <c r="D780" s="20" t="n">
        <v>3.5714285714</v>
      </c>
      <c r="E780" s="20">
        <f>C780+D780</f>
        <v/>
      </c>
      <c r="F780" s="20">
        <f>E780/(1+$B$789)^B780</f>
        <v/>
      </c>
      <c r="G780" s="20">
        <f>B780*F780</f>
        <v/>
      </c>
      <c r="H780" s="20">
        <f>E780*B780*(B780+1)/(1+$B$789)^(B780+2)</f>
        <v/>
      </c>
      <c r="I780" s="20">
        <f>B780*E780</f>
        <v/>
      </c>
    </row>
    <row r="781">
      <c r="A781" s="23" t="n">
        <v>50595</v>
      </c>
      <c r="B781" s="20">
        <f>(A781-$A$763)/365</f>
        <v/>
      </c>
      <c r="C781" s="20" t="n">
        <v>0.5577256944</v>
      </c>
      <c r="D781" s="20" t="n">
        <v>3.5714285714</v>
      </c>
      <c r="E781" s="20">
        <f>C781+D781</f>
        <v/>
      </c>
      <c r="F781" s="20">
        <f>E781/(1+$B$789)^B781</f>
        <v/>
      </c>
      <c r="G781" s="20">
        <f>B781*F781</f>
        <v/>
      </c>
      <c r="H781" s="20">
        <f>E781*B781*(B781+1)/(1+$B$789)^(B781+2)</f>
        <v/>
      </c>
      <c r="I781" s="20">
        <f>B781*E781</f>
        <v/>
      </c>
    </row>
    <row r="782">
      <c r="A782" s="23" t="n">
        <v>50779</v>
      </c>
      <c r="B782" s="20">
        <f>(A782-$A$763)/365</f>
        <v/>
      </c>
      <c r="C782" s="20" t="n">
        <v>0.4914434524</v>
      </c>
      <c r="D782" s="20" t="n">
        <v>3.5714285714</v>
      </c>
      <c r="E782" s="20">
        <f>C782+D782</f>
        <v/>
      </c>
      <c r="F782" s="20">
        <f>E782/(1+$B$789)^B782</f>
        <v/>
      </c>
      <c r="G782" s="20">
        <f>B782*F782</f>
        <v/>
      </c>
      <c r="H782" s="20">
        <f>E782*B782*(B782+1)/(1+$B$789)^(B782+2)</f>
        <v/>
      </c>
      <c r="I782" s="20">
        <f>B782*E782</f>
        <v/>
      </c>
    </row>
    <row r="783">
      <c r="A783" s="23" t="n">
        <v>50960</v>
      </c>
      <c r="B783" s="20">
        <f>(A783-$A$763)/365</f>
        <v/>
      </c>
      <c r="C783" s="20" t="n">
        <v>0.4206969246</v>
      </c>
      <c r="D783" s="20" t="n">
        <v>3.5714285714</v>
      </c>
      <c r="E783" s="20">
        <f>C783+D783</f>
        <v/>
      </c>
      <c r="F783" s="20">
        <f>E783/(1+$B$789)^B783</f>
        <v/>
      </c>
      <c r="G783" s="20">
        <f>B783*F783</f>
        <v/>
      </c>
      <c r="H783" s="20">
        <f>E783*B783*(B783+1)/(1+$B$789)^(B783+2)</f>
        <v/>
      </c>
      <c r="I783" s="20">
        <f>B783*E783</f>
        <v/>
      </c>
    </row>
    <row r="784">
      <c r="A784" s="23" t="n">
        <v>51144</v>
      </c>
      <c r="B784" s="20">
        <f>(A784-$A$763)/365</f>
        <v/>
      </c>
      <c r="C784" s="20" t="n">
        <v>0.3454861111</v>
      </c>
      <c r="D784" s="20" t="n">
        <v>3.5714285714</v>
      </c>
      <c r="E784" s="20">
        <f>C784+D784</f>
        <v/>
      </c>
      <c r="F784" s="20">
        <f>E784/(1+$B$789)^B784</f>
        <v/>
      </c>
      <c r="G784" s="20">
        <f>B784*F784</f>
        <v/>
      </c>
      <c r="H784" s="20">
        <f>E784*B784*(B784+1)/(1+$B$789)^(B784+2)</f>
        <v/>
      </c>
      <c r="I784" s="20">
        <f>B784*E784</f>
        <v/>
      </c>
    </row>
    <row r="785">
      <c r="A785" s="23" t="n">
        <v>51326</v>
      </c>
      <c r="B785" s="20">
        <f>(A785-$A$763)/365</f>
        <v/>
      </c>
      <c r="C785" s="20" t="n">
        <v>0.2658110119</v>
      </c>
      <c r="D785" s="20" t="n">
        <v>3.5714285714</v>
      </c>
      <c r="E785" s="20">
        <f>C785+D785</f>
        <v/>
      </c>
      <c r="F785" s="20">
        <f>E785/(1+$B$789)^B785</f>
        <v/>
      </c>
      <c r="G785" s="20">
        <f>B785*F785</f>
        <v/>
      </c>
      <c r="H785" s="20">
        <f>E785*B785*(B785+1)/(1+$B$789)^(B785+2)</f>
        <v/>
      </c>
      <c r="I785" s="20">
        <f>B785*E785</f>
        <v/>
      </c>
    </row>
    <row r="786">
      <c r="A786" s="23" t="n">
        <v>51510</v>
      </c>
      <c r="B786" s="20">
        <f>(A786-$A$763)/365</f>
        <v/>
      </c>
      <c r="C786" s="20" t="n">
        <v>0.181671627</v>
      </c>
      <c r="D786" s="20" t="n">
        <v>3.5714285714</v>
      </c>
      <c r="E786" s="20">
        <f>C786+D786</f>
        <v/>
      </c>
      <c r="F786" s="20">
        <f>E786/(1+$B$789)^B786</f>
        <v/>
      </c>
      <c r="G786" s="20">
        <f>B786*F786</f>
        <v/>
      </c>
      <c r="H786" s="20">
        <f>E786*B786*(B786+1)/(1+$B$789)^(B786+2)</f>
        <v/>
      </c>
      <c r="I786" s="20">
        <f>B786*E786</f>
        <v/>
      </c>
    </row>
    <row r="787">
      <c r="A787" s="23" t="n">
        <v>51691</v>
      </c>
      <c r="B787" s="20">
        <f>(A787-$A$763)/365</f>
        <v/>
      </c>
      <c r="C787" s="20" t="n">
        <v>0.0930679563</v>
      </c>
      <c r="D787" s="20" t="n">
        <v>3.5714285714</v>
      </c>
      <c r="E787" s="20">
        <f>C787+D787</f>
        <v/>
      </c>
      <c r="F787" s="20">
        <f>E787/(1+$B$789)^B787</f>
        <v/>
      </c>
      <c r="G787" s="20">
        <f>B787*F787</f>
        <v/>
      </c>
      <c r="H787" s="20">
        <f>E787*B787*(B787+1)/(1+$B$789)^(B787+2)</f>
        <v/>
      </c>
      <c r="I787" s="20">
        <f>B787*E787</f>
        <v/>
      </c>
    </row>
    <row r="789">
      <c r="A789" s="5" t="inlineStr">
        <is>
          <t>TIR efectiva anual</t>
        </is>
      </c>
      <c r="B789" s="21" t="n">
        <v>0.09</v>
      </c>
    </row>
    <row r="790">
      <c r="A790" t="inlineStr">
        <is>
          <t>Precio</t>
        </is>
      </c>
      <c r="B790" s="20">
        <f>SUM(F764:F787)</f>
        <v/>
      </c>
    </row>
    <row r="791">
      <c r="A791" t="inlineStr">
        <is>
          <t>Duration</t>
        </is>
      </c>
      <c r="B791" s="20">
        <f>SUM(G764:G787)/B790</f>
        <v/>
      </c>
    </row>
    <row r="792">
      <c r="A792" t="inlineStr">
        <is>
          <t>DM = D/(1+TIR)</t>
        </is>
      </c>
      <c r="B792" s="20">
        <f>B791/(1+$B$789)</f>
        <v/>
      </c>
    </row>
    <row r="793">
      <c r="A793" t="inlineStr">
        <is>
          <t>Convexidad</t>
        </is>
      </c>
      <c r="B793" s="20">
        <f>SUM(H764:H787)/B790</f>
        <v/>
      </c>
    </row>
    <row r="794">
      <c r="A794" t="inlineStr">
        <is>
          <t>PPV</t>
        </is>
      </c>
      <c r="B794" s="20">
        <f>SUM(I764:I787)/SUM(E764:E787)</f>
        <v/>
      </c>
    </row>
  </sheetData>
  <mergeCells count="50">
    <mergeCell ref="C657:J657"/>
    <mergeCell ref="C195:J195"/>
    <mergeCell ref="C284:J284"/>
    <mergeCell ref="C536:J536"/>
    <mergeCell ref="C372:J372"/>
    <mergeCell ref="C37:J37"/>
    <mergeCell ref="C79:J79"/>
    <mergeCell ref="C97:J97"/>
    <mergeCell ref="C73:J73"/>
    <mergeCell ref="C215:J215"/>
    <mergeCell ref="C147:J147"/>
    <mergeCell ref="C564:J564"/>
    <mergeCell ref="C25:J25"/>
    <mergeCell ref="C103:J103"/>
    <mergeCell ref="C85:J85"/>
    <mergeCell ref="C109:J109"/>
    <mergeCell ref="C121:J121"/>
    <mergeCell ref="C348:J348"/>
    <mergeCell ref="C448:J448"/>
    <mergeCell ref="C55:J55"/>
    <mergeCell ref="C491:J491"/>
    <mergeCell ref="C31:J31"/>
    <mergeCell ref="C584:J584"/>
    <mergeCell ref="C127:J127"/>
    <mergeCell ref="C760:J760"/>
    <mergeCell ref="C605:J605"/>
    <mergeCell ref="C418:J418"/>
    <mergeCell ref="C701:J701"/>
    <mergeCell ref="C43:J43"/>
    <mergeCell ref="C115:J115"/>
    <mergeCell ref="C169:J169"/>
    <mergeCell ref="C542:J542"/>
    <mergeCell ref="C241:J241"/>
    <mergeCell ref="C61:J61"/>
    <mergeCell ref="C679:J679"/>
    <mergeCell ref="C508:J508"/>
    <mergeCell ref="C262:J262"/>
    <mergeCell ref="C395:J395"/>
    <mergeCell ref="C724:J724"/>
    <mergeCell ref="C7:J7"/>
    <mergeCell ref="C91:J91"/>
    <mergeCell ref="C469:J469"/>
    <mergeCell ref="C67:J67"/>
    <mergeCell ref="C548:J548"/>
    <mergeCell ref="C19:J19"/>
    <mergeCell ref="C13:J13"/>
    <mergeCell ref="C304:J304"/>
    <mergeCell ref="C326:J326"/>
    <mergeCell ref="C631:J631"/>
    <mergeCell ref="C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2026-11-01T20:31:40Z</dcterms:created>
  <dcterms:modified xmlns:dcterms="http://purl.org/dc/terms/" xmlns:xsi="http://www.w3.org/2001/XMLSchema-instance" xsi:type="dcterms:W3CDTF">2026-11-01T20:31:40Z</dcterms:modified>
</cp:coreProperties>
</file>